
<file path=[Content_Types].xml><?xml version="1.0" encoding="utf-8"?>
<Types xmlns="http://schemas.openxmlformats.org/package/2006/content-types">
  <Default Extension="rels" ContentType="application/vnd.openxmlformats-package.relationships+xml"/>
  <Default Extension="xml" ContentType="application/xml"/>
  <Override PartName="/xl/workbook.xml" ContentType="application/vnd.openxmlformats-officedocument.spreadsheetml.template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alcChain.xml" ContentType="application/vnd.openxmlformats-officedocument.spreadsheetml.calcChain+xml"/>
  <Override PartName="/customXml/itemProps1.xml" ContentType="application/vnd.openxmlformats-officedocument.customXmlProperties+xml"/>
  <Override PartName="/customXml/itemProps2.xml" ContentType="application/vnd.openxmlformats-officedocument.customXmlProperties+xml"/>
  <Override PartName="/customXml/itemProps3.xml" ContentType="application/vnd.openxmlformats-officedocument.customXmlProperties+xml"/>
  <Override PartName="/docProps/core.xml" ContentType="application/vnd.openxmlformats-package.core-properties+xml"/>
  <Override PartName="/docProps/app.xml" ContentType="application/vnd.openxmlformats-officedocument.extended-properties+xml"/>
  <Override PartName="/docProps/custom.xml" ContentType="application/vnd.openxmlformats-officedocument.custom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Relationship Id="rId4" Type="http://schemas.openxmlformats.org/officeDocument/2006/relationships/custom-properties" Target="docProps/custom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xmlns:xr="http://schemas.microsoft.com/office/spreadsheetml/2014/revision" xmlns:xr6="http://schemas.microsoft.com/office/spreadsheetml/2016/revision6" xmlns:xr10="http://schemas.microsoft.com/office/spreadsheetml/2016/revision10" mc:Ignorable="x15 xr xr6 xr10">
  <fileVersion appName="xl" lastEdited="7" lowestEdited="7" rupBuild="20417"/>
  <workbookPr defaultThemeVersion="166925"/>
  <mc:AlternateContent xmlns:mc="http://schemas.openxmlformats.org/markup-compatibility/2006">
    <mc:Choice Requires="x15">
      <x15ac:absPath xmlns:x15ac="http://schemas.microsoft.com/office/spreadsheetml/2010/11/ac" url="C:\Users\300077519\Downloads\"/>
    </mc:Choice>
  </mc:AlternateContent>
  <xr:revisionPtr revIDLastSave="0" documentId="8_{6BF542CF-0D3C-48EF-91A4-50E1EDFD8112}" xr6:coauthVersionLast="36" xr6:coauthVersionMax="36" xr10:uidLastSave="{00000000-0000-0000-0000-000000000000}"/>
  <bookViews>
    <workbookView xWindow="0" yWindow="0" windowWidth="19200" windowHeight="6810"/>
  </bookViews>
  <sheets>
    <sheet name="V_OSM_GF3140 (1)" sheetId="1" r:id="rId1"/>
  </sheets>
  <calcPr calcId="191029"/>
</workbook>
</file>

<file path=xl/calcChain.xml><?xml version="1.0" encoding="utf-8"?>
<calcChain xmlns="http://schemas.openxmlformats.org/spreadsheetml/2006/main">
  <c r="E166" i="1" l="1"/>
  <c r="D166" i="1"/>
  <c r="E165" i="1"/>
  <c r="D165" i="1"/>
  <c r="E164" i="1"/>
  <c r="D164" i="1"/>
  <c r="E163" i="1"/>
  <c r="D163" i="1"/>
  <c r="E162" i="1"/>
  <c r="D162" i="1"/>
  <c r="E161" i="1"/>
  <c r="D161" i="1"/>
  <c r="E160" i="1"/>
  <c r="D160" i="1"/>
  <c r="E159" i="1"/>
  <c r="D159" i="1"/>
  <c r="E158" i="1"/>
  <c r="D158" i="1"/>
  <c r="E157" i="1"/>
  <c r="D157" i="1"/>
  <c r="E156" i="1"/>
  <c r="D156" i="1"/>
  <c r="E155" i="1"/>
  <c r="D155" i="1"/>
  <c r="E154" i="1"/>
  <c r="D154" i="1"/>
  <c r="E153" i="1"/>
  <c r="D153" i="1"/>
  <c r="E152" i="1"/>
  <c r="D152" i="1"/>
  <c r="E151" i="1"/>
  <c r="D151" i="1"/>
  <c r="E150" i="1"/>
  <c r="D150" i="1"/>
  <c r="E149" i="1"/>
  <c r="D149" i="1"/>
  <c r="E148" i="1"/>
  <c r="D148" i="1"/>
  <c r="E147" i="1"/>
  <c r="D147" i="1"/>
  <c r="E146" i="1"/>
  <c r="D146" i="1"/>
  <c r="E145" i="1"/>
  <c r="D145" i="1"/>
  <c r="E144" i="1"/>
  <c r="D144" i="1"/>
  <c r="E143" i="1"/>
  <c r="D143" i="1"/>
  <c r="E142" i="1"/>
  <c r="D142" i="1"/>
  <c r="E141" i="1"/>
  <c r="D141" i="1"/>
  <c r="E140" i="1"/>
  <c r="D140" i="1"/>
  <c r="E139" i="1"/>
  <c r="D139" i="1"/>
  <c r="E138" i="1"/>
  <c r="D138" i="1"/>
  <c r="E137" i="1"/>
  <c r="D137" i="1"/>
  <c r="E136" i="1"/>
  <c r="D136" i="1"/>
  <c r="E135" i="1"/>
  <c r="D135" i="1"/>
  <c r="E134" i="1"/>
  <c r="D134" i="1"/>
  <c r="E133" i="1"/>
  <c r="D133" i="1"/>
  <c r="E132" i="1"/>
  <c r="D132" i="1"/>
  <c r="E131" i="1"/>
  <c r="D131" i="1"/>
  <c r="E130" i="1"/>
  <c r="D130" i="1"/>
  <c r="E129" i="1"/>
  <c r="D129" i="1"/>
  <c r="E128" i="1"/>
  <c r="D128" i="1"/>
  <c r="E127" i="1"/>
  <c r="D127" i="1"/>
  <c r="E126" i="1"/>
  <c r="D126" i="1"/>
  <c r="E125" i="1"/>
  <c r="D125" i="1"/>
  <c r="E124" i="1"/>
  <c r="D124" i="1"/>
  <c r="E123" i="1"/>
  <c r="D123" i="1"/>
  <c r="E122" i="1"/>
  <c r="D122" i="1"/>
  <c r="E121" i="1"/>
  <c r="D121" i="1"/>
  <c r="E120" i="1"/>
  <c r="D120" i="1"/>
  <c r="E119" i="1"/>
  <c r="D119" i="1"/>
  <c r="E118" i="1"/>
  <c r="D118" i="1"/>
  <c r="E117" i="1"/>
  <c r="D117" i="1"/>
  <c r="E116" i="1"/>
  <c r="D116" i="1"/>
  <c r="E115" i="1"/>
  <c r="D115" i="1"/>
  <c r="E114" i="1"/>
  <c r="D114" i="1"/>
  <c r="E113" i="1"/>
  <c r="D113" i="1"/>
  <c r="E112" i="1"/>
  <c r="D112" i="1"/>
  <c r="E111" i="1"/>
  <c r="D111" i="1"/>
  <c r="E110" i="1"/>
  <c r="D110" i="1"/>
  <c r="E109" i="1"/>
  <c r="D109" i="1"/>
  <c r="E108" i="1"/>
  <c r="D108" i="1"/>
  <c r="E107" i="1"/>
  <c r="D107" i="1"/>
  <c r="E106" i="1"/>
  <c r="D106" i="1"/>
  <c r="E105" i="1"/>
  <c r="D105" i="1"/>
  <c r="E104" i="1"/>
  <c r="D104" i="1"/>
  <c r="E103" i="1"/>
  <c r="D103" i="1"/>
  <c r="E102" i="1"/>
  <c r="D102" i="1"/>
  <c r="E101" i="1"/>
  <c r="D101" i="1"/>
  <c r="E100" i="1"/>
  <c r="D100" i="1"/>
  <c r="E99" i="1"/>
  <c r="D99" i="1"/>
  <c r="E98" i="1"/>
  <c r="D98" i="1"/>
  <c r="E97" i="1"/>
  <c r="D97" i="1"/>
  <c r="E96" i="1"/>
  <c r="D96" i="1"/>
  <c r="E95" i="1"/>
  <c r="D95" i="1"/>
  <c r="E94" i="1"/>
  <c r="D94" i="1"/>
  <c r="E93" i="1"/>
  <c r="D93" i="1"/>
  <c r="E92" i="1"/>
  <c r="D92" i="1"/>
  <c r="E91" i="1"/>
  <c r="D91" i="1"/>
  <c r="E90" i="1"/>
  <c r="D90" i="1"/>
  <c r="E89" i="1"/>
  <c r="D89" i="1"/>
  <c r="E88" i="1"/>
  <c r="D88" i="1"/>
  <c r="E87" i="1"/>
  <c r="D87" i="1"/>
  <c r="E86" i="1"/>
  <c r="D86" i="1"/>
  <c r="E85" i="1"/>
  <c r="D85" i="1"/>
  <c r="E84" i="1"/>
  <c r="D84" i="1"/>
  <c r="E83" i="1"/>
  <c r="D83" i="1"/>
  <c r="E82" i="1"/>
  <c r="D82" i="1"/>
  <c r="E81" i="1"/>
  <c r="D81" i="1"/>
  <c r="E80" i="1"/>
  <c r="D80" i="1"/>
  <c r="E79" i="1"/>
  <c r="D79" i="1"/>
  <c r="E78" i="1"/>
  <c r="D78" i="1"/>
  <c r="E77" i="1"/>
  <c r="D77" i="1"/>
  <c r="E76" i="1"/>
  <c r="D76" i="1"/>
  <c r="E75" i="1"/>
  <c r="D75" i="1"/>
  <c r="E74" i="1"/>
  <c r="D74" i="1"/>
  <c r="E73" i="1"/>
  <c r="D73" i="1"/>
  <c r="E72" i="1"/>
  <c r="D72" i="1"/>
  <c r="E71" i="1"/>
  <c r="D71" i="1"/>
  <c r="E70" i="1"/>
  <c r="D70" i="1"/>
  <c r="E69" i="1"/>
  <c r="D69" i="1"/>
  <c r="E68" i="1"/>
  <c r="D68" i="1"/>
  <c r="E67" i="1"/>
  <c r="D67" i="1"/>
  <c r="E66" i="1"/>
  <c r="D66" i="1"/>
  <c r="E65" i="1"/>
  <c r="D65" i="1"/>
  <c r="E64" i="1"/>
  <c r="D64" i="1"/>
  <c r="E63" i="1"/>
  <c r="D63" i="1"/>
  <c r="E62" i="1"/>
  <c r="D62" i="1"/>
  <c r="E61" i="1"/>
  <c r="D61" i="1"/>
  <c r="E60" i="1"/>
  <c r="D60" i="1"/>
  <c r="E59" i="1"/>
  <c r="D59" i="1"/>
  <c r="E58" i="1"/>
  <c r="D58" i="1"/>
  <c r="E57" i="1"/>
  <c r="D57" i="1"/>
  <c r="E56" i="1"/>
  <c r="D56" i="1"/>
  <c r="E55" i="1"/>
  <c r="D55" i="1"/>
  <c r="E54" i="1"/>
  <c r="D54" i="1"/>
  <c r="E53" i="1"/>
  <c r="D53" i="1"/>
  <c r="E52" i="1"/>
  <c r="D52" i="1"/>
  <c r="E51" i="1"/>
  <c r="D51" i="1"/>
  <c r="E50" i="1"/>
  <c r="D50" i="1"/>
  <c r="E49" i="1"/>
  <c r="D49" i="1"/>
  <c r="E48" i="1"/>
  <c r="D48" i="1"/>
  <c r="E47" i="1"/>
  <c r="D47" i="1"/>
  <c r="E46" i="1"/>
  <c r="D46" i="1"/>
  <c r="E45" i="1"/>
  <c r="D45" i="1"/>
  <c r="E44" i="1"/>
  <c r="D44" i="1"/>
  <c r="E43" i="1"/>
  <c r="D43" i="1"/>
  <c r="E42" i="1"/>
  <c r="D42" i="1"/>
  <c r="E41" i="1"/>
  <c r="D41" i="1"/>
  <c r="E40" i="1"/>
  <c r="D40" i="1"/>
  <c r="E39" i="1"/>
  <c r="D39" i="1"/>
  <c r="E38" i="1"/>
  <c r="D38" i="1"/>
  <c r="E37" i="1"/>
  <c r="D37" i="1"/>
  <c r="E36" i="1"/>
  <c r="D36" i="1"/>
  <c r="E35" i="1"/>
  <c r="D35" i="1"/>
  <c r="E34" i="1"/>
  <c r="D34" i="1"/>
  <c r="E33" i="1"/>
  <c r="D33" i="1"/>
  <c r="E32" i="1"/>
  <c r="D32" i="1"/>
  <c r="E31" i="1"/>
  <c r="D31" i="1"/>
  <c r="E30" i="1"/>
  <c r="D30" i="1"/>
  <c r="E29" i="1"/>
  <c r="D29" i="1"/>
  <c r="E28" i="1"/>
  <c r="D28" i="1"/>
  <c r="E27" i="1"/>
  <c r="D27" i="1"/>
  <c r="E26" i="1"/>
  <c r="D26" i="1"/>
  <c r="E25" i="1"/>
  <c r="D25" i="1"/>
  <c r="E24" i="1"/>
  <c r="D24" i="1"/>
  <c r="E23" i="1"/>
  <c r="D23" i="1"/>
  <c r="E22" i="1"/>
  <c r="D22" i="1"/>
  <c r="E21" i="1"/>
  <c r="D21" i="1"/>
  <c r="E20" i="1"/>
  <c r="D20" i="1"/>
  <c r="E19" i="1"/>
  <c r="D19" i="1"/>
  <c r="E18" i="1"/>
  <c r="D18" i="1"/>
  <c r="E17" i="1"/>
  <c r="D17" i="1"/>
  <c r="E16" i="1"/>
  <c r="D16" i="1"/>
  <c r="E15" i="1"/>
  <c r="D15" i="1"/>
  <c r="E14" i="1"/>
  <c r="D14" i="1"/>
  <c r="E13" i="1"/>
  <c r="D13" i="1"/>
  <c r="E12" i="1"/>
  <c r="D12" i="1"/>
  <c r="E11" i="1"/>
  <c r="D11" i="1"/>
  <c r="E10" i="1"/>
  <c r="D10" i="1"/>
  <c r="E9" i="1"/>
  <c r="D9" i="1"/>
  <c r="E8" i="1"/>
  <c r="D8" i="1"/>
  <c r="E7" i="1"/>
  <c r="D7" i="1"/>
  <c r="E6" i="1"/>
  <c r="D6" i="1"/>
  <c r="E5" i="1"/>
  <c r="D5" i="1"/>
  <c r="E4" i="1"/>
  <c r="D4" i="1"/>
  <c r="E3" i="1"/>
  <c r="D3" i="1"/>
  <c r="E2" i="1"/>
  <c r="D2" i="1"/>
</calcChain>
</file>

<file path=xl/sharedStrings.xml><?xml version="1.0" encoding="utf-8"?>
<sst xmlns="http://schemas.openxmlformats.org/spreadsheetml/2006/main" count="2982" uniqueCount="207">
  <si>
    <t>Grupo</t>
  </si>
  <si>
    <t>Prest. Serviço</t>
  </si>
  <si>
    <t>Agrupador</t>
  </si>
  <si>
    <t>OP</t>
  </si>
  <si>
    <t>Artigo</t>
  </si>
  <si>
    <t>Fase</t>
  </si>
  <si>
    <t>Sit. Atual OP</t>
  </si>
  <si>
    <t>Sit. OP na data</t>
  </si>
  <si>
    <t>Dt. Problema</t>
  </si>
  <si>
    <t>Descrição</t>
  </si>
  <si>
    <t>Inf. Complementar (P. Serviço)</t>
  </si>
  <si>
    <t>Sit. Problema</t>
  </si>
  <si>
    <t>Dt. Início At.</t>
  </si>
  <si>
    <t>Dt. Fim At.</t>
  </si>
  <si>
    <t>GERAL</t>
  </si>
  <si>
    <t>DI3 PETROS CAMARA DA SILVA</t>
  </si>
  <si>
    <t>COST</t>
  </si>
  <si>
    <t>Retornada</t>
  </si>
  <si>
    <t>Outros (Descreva nas observações)</t>
  </si>
  <si>
    <t>Preço incorreto, deveria ser 16,24 e veio com 14,23</t>
  </si>
  <si>
    <t>Pendente</t>
  </si>
  <si>
    <t>Concluída</t>
  </si>
  <si>
    <t>Recebida</t>
  </si>
  <si>
    <t>O tempo da peça do relatório FOP é de 4,19 e no sistema consta como 4,01</t>
  </si>
  <si>
    <t>Preço incorreto, deveria vir 2,77 e veio 2,72</t>
  </si>
  <si>
    <t>Iniciada</t>
  </si>
  <si>
    <t>DONA TICA CONFECCOES LTDA - MATRIZ</t>
  </si>
  <si>
    <t>Finalizada</t>
  </si>
  <si>
    <t>Faltando partes</t>
  </si>
  <si>
    <t>FALTANDO 3 PACOTES DE TRASEIRO DO LADO DIREITO DE QUEM VESTE, TOTAL DE 84 TRASEIROS</t>
  </si>
  <si>
    <t>JOSENI MARIA DE MEDEIROS</t>
  </si>
  <si>
    <t>O valor unitário não está de acordo com o tempo padrão.</t>
  </si>
  <si>
    <t>Furo de agulha</t>
  </si>
  <si>
    <t>furo de agulha em 13 peças</t>
  </si>
  <si>
    <t>Falha no tecido</t>
  </si>
  <si>
    <t>Duas peças com falha no tecido</t>
  </si>
  <si>
    <t>Duas peças danificadas</t>
  </si>
  <si>
    <t>dezoito peças com variação no decote</t>
  </si>
  <si>
    <t>49 peças com variação na barra</t>
  </si>
  <si>
    <t>O valor uniário não está de acordo com o tempo padrão.</t>
  </si>
  <si>
    <t>FURO DE AGULHA EM 487 PEÇAS</t>
  </si>
  <si>
    <t>Peças Manchadas</t>
  </si>
  <si>
    <t>16 PEÇAS MANCHADAS</t>
  </si>
  <si>
    <t>16 PEÇAS COM FALHA NO TECIDO</t>
  </si>
  <si>
    <t>1 PEÇA COM SILK BORRADO</t>
  </si>
  <si>
    <t>482 AVALIAR GOLA</t>
  </si>
  <si>
    <t>14 LATERAIS REVERSA</t>
  </si>
  <si>
    <t>3 PEÇAS COM COMPRIMENTO MENOR</t>
  </si>
  <si>
    <t>5 PEÇAS DANIFICADAS</t>
  </si>
  <si>
    <t>2 PEÇAS COM FALHA NO TECIDO</t>
  </si>
  <si>
    <t>2 PEEÇAS COM VARIAÇÃO DE CAVAS</t>
  </si>
  <si>
    <t>Diferença de Tonalidade</t>
  </si>
  <si>
    <t>EM 52 PEÇAS</t>
  </si>
  <si>
    <t>14 PEÇAS COM A LATERAL REVERSA</t>
  </si>
  <si>
    <t>24 PEÇAS PARA AVALIAR GOLA</t>
  </si>
  <si>
    <t>18 PEÇAS</t>
  </si>
  <si>
    <t>Peças sem silk</t>
  </si>
  <si>
    <t>1 PEÇA SEM SILK</t>
  </si>
  <si>
    <t>1 PEÇA</t>
  </si>
  <si>
    <t>COMPRIMENTO MENOR EM 5 PEÇAS</t>
  </si>
  <si>
    <t>19 FUROS DE AGULHA</t>
  </si>
  <si>
    <t>17 peças com diferença de bocada</t>
  </si>
  <si>
    <t>em 1 peça avaliar ponto corrido na boncada</t>
  </si>
  <si>
    <t>3 peças danificadas</t>
  </si>
  <si>
    <t>Nesta ordem faltaram algumas partes sendo: 7 dianteiro tamanho 12; 12 dianteiro tamanho 12; 4 traseiro tamanho 14; 2 traseiro tamanho 9</t>
  </si>
  <si>
    <t>40 PEÇAS COM SILK BORRADO</t>
  </si>
  <si>
    <t>14 PEÇAS APRESENTARAM MANCHA NO TECIDO</t>
  </si>
  <si>
    <t>5 PEÇAS</t>
  </si>
  <si>
    <t>23 PEÇAS COM FURO DE AGULHA</t>
  </si>
  <si>
    <t>4 PEÇAS APRESENTARAM COMPRIMENTO MENOR</t>
  </si>
  <si>
    <t>2 PEÇAS FORAM DANIFICADAS</t>
  </si>
  <si>
    <t>Falta de aviamento</t>
  </si>
  <si>
    <t>falta de fios, com isso a entrega está atrasando</t>
  </si>
  <si>
    <t>10 peças com furo de agulha</t>
  </si>
  <si>
    <t>6 peças danificadas</t>
  </si>
  <si>
    <t>14 peças</t>
  </si>
  <si>
    <t>2 peças com falha</t>
  </si>
  <si>
    <t>avaliar o caimento do ombro de 102 peças</t>
  </si>
  <si>
    <t>1 peça sem silk</t>
  </si>
  <si>
    <t>3 peças para avaliar manga</t>
  </si>
  <si>
    <t>2 peças com falha no tecido</t>
  </si>
  <si>
    <t>27 peças manchadas</t>
  </si>
  <si>
    <t>32 peças com variação nas cavas</t>
  </si>
  <si>
    <t>M e F EMPREENDIMENTOS CHARLIENE FERNANDES DOS SANTOS</t>
  </si>
  <si>
    <t>10 peças com furo</t>
  </si>
  <si>
    <t>JOSE MEDEIROS DE ARAUJO ME</t>
  </si>
  <si>
    <t>3 peças com manchas</t>
  </si>
  <si>
    <t>2 peças danificadas</t>
  </si>
  <si>
    <t>Avaliar ombro em duas peças do tamanho 4</t>
  </si>
  <si>
    <t>O valor unitário precisa ser ajustado</t>
  </si>
  <si>
    <t>nesta ordem houve falta de viés, estamos aguardando a reposição.</t>
  </si>
  <si>
    <t>O valor unitário não está de acordo com o o tempo padrão.</t>
  </si>
  <si>
    <t>1 peça com furo de agulha</t>
  </si>
  <si>
    <t>5 peças com mancha</t>
  </si>
  <si>
    <t>simetria no bolso em 48mpeças do tamanho G</t>
  </si>
  <si>
    <t>Abertura do bolso em 202 peças</t>
  </si>
  <si>
    <t>Avaliar 20 jotas</t>
  </si>
  <si>
    <t>10 peças manchadas.</t>
  </si>
  <si>
    <t>4 peças danificadas.</t>
  </si>
  <si>
    <t>30 peças com furo</t>
  </si>
  <si>
    <t>30 peças manchadas</t>
  </si>
  <si>
    <t>50 peças sem silk</t>
  </si>
  <si>
    <t>avaliar bolso em 35 peças</t>
  </si>
  <si>
    <t>20 peças com mancha</t>
  </si>
  <si>
    <t>avaliar cavas de 20 peças</t>
  </si>
  <si>
    <t>Avaliar bolso de 200 peças</t>
  </si>
  <si>
    <t>Avaliar gola de 40 peças</t>
  </si>
  <si>
    <t>22 peças</t>
  </si>
  <si>
    <t>9 peças com silk torto</t>
  </si>
  <si>
    <t>avaliar bolsos em 50 peças.</t>
  </si>
  <si>
    <t>avaliar gola em 4 peças</t>
  </si>
  <si>
    <t>avaliar ombro em 5 peças</t>
  </si>
  <si>
    <t>35 peças</t>
  </si>
  <si>
    <t>avaliar manga em 10 peças</t>
  </si>
  <si>
    <t>17 PEÇAS COM MANCHA</t>
  </si>
  <si>
    <t>17 PEÇAS PARA SER AVALIADO OS BOLSOS</t>
  </si>
  <si>
    <t>SILK TORTO EM 4 PEÇAS</t>
  </si>
  <si>
    <t>17 PEÇAS INCOMPLETAS POIS FALTOU GOLA E NÃO TEVE MATÉRIA PRIMA PARA REPOSIÇÃO.</t>
  </si>
  <si>
    <t>silk torto em 10 peças</t>
  </si>
  <si>
    <t>23 peças para avaliar bolso</t>
  </si>
  <si>
    <t>34 peças manchadas</t>
  </si>
  <si>
    <t>5 peças com falha no tecido</t>
  </si>
  <si>
    <t>7 PEÇAS</t>
  </si>
  <si>
    <t>6 PEÇAS DANIFICADAS</t>
  </si>
  <si>
    <t>FACCAO ELLO</t>
  </si>
  <si>
    <t>1 PEÇAS SEM MONTAR PORQUE FALTOU PARTES, ENVIAMOS AS SOBRAS</t>
  </si>
  <si>
    <t>Enviada</t>
  </si>
  <si>
    <t>ESSA ORDEM NÃO CHEGOU EM MINHA OFICINA, ENCAMINHEI UM EMAIL INFORMANDO, MAS AINDA NÃO TIVER RETORNO.</t>
  </si>
  <si>
    <t>ESTOU AGUARDANDO RETORNO DE UMA REPOSIÇÃO DE FRENTES.</t>
  </si>
  <si>
    <t>ESTAMOS ENVIANDO 6 PEÇAS SEM ETIQUETA DE COMPOSIÇÃO IDENTIFICADAS EM UMA CAIXA PORQUE FALTOU, PEDIOS REPOSIÇÃO, MAS NOS INFORMARAM QUE SERÃO PREGADAS NA GUARARAPES</t>
  </si>
  <si>
    <t>A ORDEM DEVERIA VIAJAR HOJE, MAS ESTOU NO AUARDO DA ALTERAÇÃO DO VALOR UNITÁRIO SER ALTERADO ( JA FOI ENVIADO EMAIL AOS RESPONSAVEIS) E TAMBÉM ESTOU AGUARDANDO SER ADICIONADA NO DESTRA.</t>
  </si>
  <si>
    <t>AGUARDANDO REPOSIÇÃO DE FRENTES</t>
  </si>
  <si>
    <t>SOLICTEI PEDIDO DE REPOSIÇÃO, POIS FALTOU 74 FENTES -NOS RESPONDERAM POR EMAIL QUE TEVE 19 PEÇAS DE PERDAS NO BORDADO E FOI AUTORIZADO ENVIARMOS SEPARADAS E IDENTIFICADAS</t>
  </si>
  <si>
    <t>AGUARDANDO REPOSIÇÃO DE 272 CÓS</t>
  </si>
  <si>
    <t>ESTOU AGUARDANDO REPOSIÃO DE DUAS ETIQUETAS DE COMPOSIÇÃO</t>
  </si>
  <si>
    <t>ORDEM PRONTA, AGUARDANDO APENAS REPOSIÇÃO DE 4 ETIQUETAS DE COMPOSIÇÃO</t>
  </si>
  <si>
    <t>A ORDEM ESTA PRONTA PARA COLETA, MAS ESTOU ESPERANDO O RESPONSAVL FAZER O REAJUSTE DA NOTA DE COBRANÇA PARA EU CONSEGUIR EMITIR COM O VALOR CORRETO.</t>
  </si>
  <si>
    <t>A ORDEM ESTA COM O VALOR UNITÁRIO INCORRETO, ESTOU NO GUARDO DA CORREÇÃO.</t>
  </si>
  <si>
    <t>A ORDEM ESTA AGUARDANDO REPOSIÇÃO DE 43 VISTA LADO ESQUERDO E 43 VISTA LADO DIREITO</t>
  </si>
  <si>
    <t>AGUARDANDO SOLICTAÇÃO DE REPOSIÇÃO DE TODOS OS ELASTICOS</t>
  </si>
  <si>
    <t>AGUARDANDO REPOSIÇÃO DE ETIQUETA DE CÓS E FRENTES</t>
  </si>
  <si>
    <t>CONFECCOES GENESIS</t>
  </si>
  <si>
    <t>NÃO VEIO AS TAG DE PREÇO PARA TODOS OS TAMANHOS</t>
  </si>
  <si>
    <t>VEIO FALTANDO AS ETIQUETAS DE COMPOSIÇÃO DE TODOS OS TAMANHOS</t>
  </si>
  <si>
    <t>A ORDEM VEIO SEM AS PALA TRASEIRAS DE TODOS OS TAMANHOS</t>
  </si>
  <si>
    <t>VEIO FALTANDO AS PALAS TRASEIRAS DE TODOS OS TAMANHOS</t>
  </si>
  <si>
    <t>Faltou etiqueta de composição do tamanho 13-14</t>
  </si>
  <si>
    <t>G4 INDUSTRIA E COMERCIO DO VESTUARIO</t>
  </si>
  <si>
    <t>O preço do produto está incorreto, foi informado 13,80 e o correto seria 12,10</t>
  </si>
  <si>
    <t>Cancelada</t>
  </si>
  <si>
    <t>A quantidade de peças cortadas veio divergente com a NF, veio 926 peças e na NF 1.051.</t>
  </si>
  <si>
    <t>O valor do produto está incorreto, pois se encontra 12,89 e o correto seria 11,31.</t>
  </si>
  <si>
    <t>O tempo está divergente da guia de risco, pois, o tempo que veio na guia de risco foi 18,30.</t>
  </si>
  <si>
    <t>O valor da peça está incorreto, está cobrando 12,28 e o certo seria 12,29.</t>
  </si>
  <si>
    <t>O valor da peça não bate com o tempo, está 11,55 e o certo seria 11,56.</t>
  </si>
  <si>
    <t>O valor unitário não bate com o tempo, seria 12,33.</t>
  </si>
  <si>
    <t>Tempo e valor está divergente, seria o tempo 19,76 e o valor unitário 12,65.</t>
  </si>
  <si>
    <t>POEST INDUSTRIA E COMERCIO DE VESTUARIO</t>
  </si>
  <si>
    <t>O valor da peça não bate com o tempo, veio 10,36 e seria 12,56.</t>
  </si>
  <si>
    <t>O tempo e o valor da peça está incorreto veio: tempo 23,40 - peça 17,08. O correto é ( tempo: 22,98 - valor da peça: 16,78).</t>
  </si>
  <si>
    <t>Ajustar o preço da peça para 8,98, pois, nessa OP teve desconto referente as perdas de 05/2026.</t>
  </si>
  <si>
    <t>Teve alteração no tempo para 18,62 e o valor unitário será 11,92.</t>
  </si>
  <si>
    <t>O VALOR UNITARIO NÃO BATE COM O TEMPO, AJUSTAR O VALOR PARA 11,39.</t>
  </si>
  <si>
    <t>ARAUJO E M CONFECCOES LTDA</t>
  </si>
  <si>
    <t>Programada</t>
  </si>
  <si>
    <t>ORDEM COM TODOS OS VIVOS COM A ENTRETELA COLADO PELO LADO ERRADO.</t>
  </si>
  <si>
    <t>VALOR ERRADO: Boa tarde, recebi uma nota no valor de 12,26 a mesma é uma calça de bolso embutido. Porém o bolso ele é feito na oficina e o valor correto é de 15,80</t>
  </si>
  <si>
    <t>EVALBER DE CASTRO DANTAS (DONA DINA)</t>
  </si>
  <si>
    <t>Valor do produto está sem o tempo do pregar Bolso traseiro, precisa ser alterado, pois o bolso foi pregado na oficina.</t>
  </si>
  <si>
    <t>EBENEZER INDUSTRIA TEXTIL</t>
  </si>
  <si>
    <t>A ORDEM ESTA PRONTA PARA VIAJAR, MAS ESTOU NA ESPERA DO REAJUSTE DO VALOR UNITÁNIO PARA EMITIR A NOTA DE COBRANÇA COM O VALOR CORRETO.</t>
  </si>
  <si>
    <t>FALTOU TODAS AS ETIQUETAS DE COMPOSIÇÃO</t>
  </si>
  <si>
    <t>AGUARDANDO REPOSIÇÃO DE TODAS AS ETIQUETAS DE COMPOSIÇÃO</t>
  </si>
  <si>
    <t>AGUARDANDO REPOSIÇÃO SE TODAS AS ETIQUETAS</t>
  </si>
  <si>
    <t>AGUARDANDO REPOSIÇÃO DE 94 FRENTES, 94 TRASEIROS E 94 MANGAS</t>
  </si>
  <si>
    <t>OFICINA DE COSTURA SANTOS</t>
  </si>
  <si>
    <t>O tempo dessa ordem está sem operações do bolso traseiro (18,70). Estamos pregando os bolsos, com novo relatório (22,29). Então a eficiência está saindo abaixo .</t>
  </si>
  <si>
    <t>I M DE OLIVEIRA SILVA</t>
  </si>
  <si>
    <t>2 peças manchadas de óleo</t>
  </si>
  <si>
    <t>7 PEÇAS COM FALHA NO TECIDO</t>
  </si>
  <si>
    <t>Sujeira</t>
  </si>
  <si>
    <t>2 PEÇAS SUJAS</t>
  </si>
  <si>
    <t>AJG CONFECCOES</t>
  </si>
  <si>
    <t>FALTOU FRENTES E VISTAS DE 164 PEÇAS , JÁ SOLICITADO A REPOSIÇÃO ONTEM DIA 10</t>
  </si>
  <si>
    <t>OS ZIPER SÓ VEIO TAMANHO 13 CM , E ELA USA 14 E 15 CM , JÁ SOLICITEI A REPOSIÇÃO .</t>
  </si>
  <si>
    <t>CONFECCOES FRANOELDA M. M. ARAUJO</t>
  </si>
  <si>
    <t>Preço incorreto, O correto seria 15,61 e veio 11,39</t>
  </si>
  <si>
    <t>preço incorreto, o correto seria 15,69.</t>
  </si>
  <si>
    <t>preço incorreto , o correto seria 12,72.</t>
  </si>
  <si>
    <t>preço incorreto, o correto seria 12,72.</t>
  </si>
  <si>
    <t>ALINE RODRIGUES DE LIMA ARAUJO</t>
  </si>
  <si>
    <t>FALTANDO TAG DE PREÇO 90 TAGS DO TAMANHO G</t>
  </si>
  <si>
    <t>FALTANDO 12 GOLAS DO TAMANHO PP</t>
  </si>
  <si>
    <t>NOTA COM VALOR ERRADO, MATERIAL COM TEMPO 5,21 VALOR CORRETO 3,80</t>
  </si>
  <si>
    <t>FALTANDO ETIQUETA DE COMPOSIÇÃO</t>
  </si>
  <si>
    <t>FORTE FORTEX PRODUÇÃO TEXTIL</t>
  </si>
  <si>
    <t>VALOR UNITARIO NA GRADE INCORRETO, O VALOR CORRETO É R$ 12,47</t>
  </si>
  <si>
    <t>TEMPO PADRÃO DA PEÇA 17,08, VALOR DO SERVIÇO NA NOTA ESTA DIFERENTE O VALOR CORRETO É 12,47.</t>
  </si>
  <si>
    <t>M DALISON DE MEDEIROS</t>
  </si>
  <si>
    <t>Preço incorreto, deveria ser 11,49 e veio 15,61</t>
  </si>
  <si>
    <t>Balanciamento/Envio</t>
  </si>
  <si>
    <t>Envio</t>
  </si>
  <si>
    <t>Oficina</t>
  </si>
  <si>
    <t>Qualidade</t>
  </si>
  <si>
    <t>Corte</t>
  </si>
  <si>
    <t>Silk</t>
  </si>
  <si>
    <t>INDICADORES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</si>
</sst>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xmlns:x16r2="http://schemas.microsoft.com/office/spreadsheetml/2015/02/main" mc:Ignorable="x14ac x16r2">
  <fonts count="20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sz val="18"/>
      <color theme="3"/>
      <name val="Calibri Light"/>
      <family val="2"/>
      <scheme val="major"/>
    </font>
    <font>
      <b/>
      <sz val="15"/>
      <color theme="3"/>
      <name val="Calibri"/>
      <family val="2"/>
      <scheme val="minor"/>
    </font>
    <font>
      <b/>
      <sz val="13"/>
      <color theme="3"/>
      <name val="Calibri"/>
      <family val="2"/>
      <scheme val="minor"/>
    </font>
    <font>
      <b/>
      <sz val="11"/>
      <color theme="3"/>
      <name val="Calibri"/>
      <family val="2"/>
      <scheme val="minor"/>
    </font>
    <font>
      <sz val="11"/>
      <color rgb="FF006100"/>
      <name val="Calibri"/>
      <family val="2"/>
      <scheme val="minor"/>
    </font>
    <font>
      <sz val="11"/>
      <color rgb="FF9C0006"/>
      <name val="Calibri"/>
      <family val="2"/>
      <scheme val="minor"/>
    </font>
    <font>
      <sz val="11"/>
      <color rgb="FF9C5700"/>
      <name val="Calibri"/>
      <family val="2"/>
      <scheme val="minor"/>
    </font>
    <font>
      <sz val="11"/>
      <color rgb="FF3F3F76"/>
      <name val="Calibri"/>
      <family val="2"/>
      <scheme val="minor"/>
    </font>
    <font>
      <b/>
      <sz val="11"/>
      <color rgb="FF3F3F3F"/>
      <name val="Calibri"/>
      <family val="2"/>
      <scheme val="minor"/>
    </font>
    <font>
      <b/>
      <sz val="11"/>
      <color rgb="FFFA7D00"/>
      <name val="Calibri"/>
      <family val="2"/>
      <scheme val="minor"/>
    </font>
    <font>
      <sz val="11"/>
      <color rgb="FFFA7D00"/>
      <name val="Calibri"/>
      <family val="2"/>
      <scheme val="minor"/>
    </font>
    <font>
      <b/>
      <sz val="11"/>
      <color theme="0"/>
      <name val="Calibri"/>
      <family val="2"/>
      <scheme val="minor"/>
    </font>
    <font>
      <sz val="11"/>
      <color rgb="FFFF0000"/>
      <name val="Calibri"/>
      <family val="2"/>
      <scheme val="minor"/>
    </font>
    <font>
      <i/>
      <sz val="11"/>
      <color rgb="FF7F7F7F"/>
      <name val="Calibri"/>
      <family val="2"/>
      <scheme val="minor"/>
    </font>
    <font>
      <b/>
      <sz val="11"/>
      <color theme="1"/>
      <name val="Calibri"/>
      <family val="2"/>
      <scheme val="minor"/>
    </font>
    <font>
      <sz val="11"/>
      <color theme="0"/>
      <name val="Calibri"/>
      <family val="2"/>
      <scheme val="minor"/>
    </font>
    <font>
      <sz val="11"/>
      <color theme="1"/>
      <name val="Verdana"/>
      <family val="2"/>
    </font>
    <font>
      <sz val="11"/>
      <color rgb="FF212529"/>
      <name val="Verdana"/>
      <family val="2"/>
    </font>
  </fonts>
  <fills count="34">
    <fill>
      <patternFill patternType="none"/>
    </fill>
    <fill>
      <patternFill patternType="gray125"/>
    </fill>
    <fill>
      <patternFill patternType="solid">
        <fgColor rgb="FFC6EFCE"/>
      </patternFill>
    </fill>
    <fill>
      <patternFill patternType="solid">
        <fgColor rgb="FFFFC7CE"/>
      </patternFill>
    </fill>
    <fill>
      <patternFill patternType="solid">
        <fgColor rgb="FFFFEB9C"/>
      </patternFill>
    </fill>
    <fill>
      <patternFill patternType="solid">
        <fgColor rgb="FFFFCC99"/>
      </patternFill>
    </fill>
    <fill>
      <patternFill patternType="solid">
        <fgColor rgb="FFF2F2F2"/>
      </patternFill>
    </fill>
    <fill>
      <patternFill patternType="solid">
        <fgColor rgb="FFA5A5A5"/>
      </patternFill>
    </fill>
    <fill>
      <patternFill patternType="solid">
        <fgColor rgb="FFFFFFCC"/>
      </patternFill>
    </fill>
    <fill>
      <patternFill patternType="solid">
        <fgColor theme="4"/>
      </patternFill>
    </fill>
    <fill>
      <patternFill patternType="solid">
        <fgColor theme="4" tint="0.79998168889431442"/>
        <bgColor indexed="65"/>
      </patternFill>
    </fill>
    <fill>
      <patternFill patternType="solid">
        <fgColor theme="4" tint="0.59999389629810485"/>
        <bgColor indexed="65"/>
      </patternFill>
    </fill>
    <fill>
      <patternFill patternType="solid">
        <fgColor theme="4" tint="0.39997558519241921"/>
        <bgColor indexed="65"/>
      </patternFill>
    </fill>
    <fill>
      <patternFill patternType="solid">
        <fgColor theme="5"/>
      </patternFill>
    </fill>
    <fill>
      <patternFill patternType="solid">
        <fgColor theme="5" tint="0.79998168889431442"/>
        <bgColor indexed="65"/>
      </patternFill>
    </fill>
    <fill>
      <patternFill patternType="solid">
        <fgColor theme="5" tint="0.59999389629810485"/>
        <bgColor indexed="65"/>
      </patternFill>
    </fill>
    <fill>
      <patternFill patternType="solid">
        <fgColor theme="5" tint="0.39997558519241921"/>
        <bgColor indexed="65"/>
      </patternFill>
    </fill>
    <fill>
      <patternFill patternType="solid">
        <fgColor theme="6"/>
      </patternFill>
    </fill>
    <fill>
      <patternFill patternType="solid">
        <fgColor theme="6" tint="0.79998168889431442"/>
        <bgColor indexed="65"/>
      </patternFill>
    </fill>
    <fill>
      <patternFill patternType="solid">
        <fgColor theme="6" tint="0.59999389629810485"/>
        <bgColor indexed="65"/>
      </patternFill>
    </fill>
    <fill>
      <patternFill patternType="solid">
        <fgColor theme="6" tint="0.39997558519241921"/>
        <bgColor indexed="65"/>
      </patternFill>
    </fill>
    <fill>
      <patternFill patternType="solid">
        <fgColor theme="7"/>
      </patternFill>
    </fill>
    <fill>
      <patternFill patternType="solid">
        <fgColor theme="7" tint="0.79998168889431442"/>
        <bgColor indexed="65"/>
      </patternFill>
    </fill>
    <fill>
      <patternFill patternType="solid">
        <fgColor theme="7" tint="0.59999389629810485"/>
        <bgColor indexed="65"/>
      </patternFill>
    </fill>
    <fill>
      <patternFill patternType="solid">
        <fgColor theme="7" tint="0.39997558519241921"/>
        <bgColor indexed="65"/>
      </patternFill>
    </fill>
    <fill>
      <patternFill patternType="solid">
        <fgColor theme="8"/>
      </patternFill>
    </fill>
    <fill>
      <patternFill patternType="solid">
        <fgColor theme="8" tint="0.79998168889431442"/>
        <bgColor indexed="65"/>
      </patternFill>
    </fill>
    <fill>
      <patternFill patternType="solid">
        <fgColor theme="8" tint="0.59999389629810485"/>
        <bgColor indexed="65"/>
      </patternFill>
    </fill>
    <fill>
      <patternFill patternType="solid">
        <fgColor theme="8" tint="0.39997558519241921"/>
        <bgColor indexed="65"/>
      </patternFill>
    </fill>
    <fill>
      <patternFill patternType="solid">
        <fgColor theme="9"/>
      </patternFill>
    </fill>
    <fill>
      <patternFill patternType="solid">
        <fgColor theme="9" tint="0.79998168889431442"/>
        <bgColor indexed="65"/>
      </patternFill>
    </fill>
    <fill>
      <patternFill patternType="solid">
        <fgColor theme="9" tint="0.59999389629810485"/>
        <bgColor indexed="65"/>
      </patternFill>
    </fill>
    <fill>
      <patternFill patternType="solid">
        <fgColor theme="9" tint="0.39997558519241921"/>
        <bgColor indexed="65"/>
      </patternFill>
    </fill>
    <fill>
      <patternFill patternType="solid">
        <fgColor rgb="FF646C74"/>
        <bgColor indexed="64"/>
      </patternFill>
    </fill>
  </fills>
  <borders count="11">
    <border>
      <left/>
      <right/>
      <top/>
      <bottom/>
      <diagonal/>
    </border>
    <border>
      <left/>
      <right/>
      <top/>
      <bottom style="thick">
        <color theme="4"/>
      </bottom>
      <diagonal/>
    </border>
    <border>
      <left/>
      <right/>
      <top/>
      <bottom style="thick">
        <color theme="4" tint="0.499984740745262"/>
      </bottom>
      <diagonal/>
    </border>
    <border>
      <left/>
      <right/>
      <top/>
      <bottom style="medium">
        <color theme="4" tint="0.39997558519241921"/>
      </bottom>
      <diagonal/>
    </border>
    <border>
      <left style="thin">
        <color rgb="FF7F7F7F"/>
      </left>
      <right style="thin">
        <color rgb="FF7F7F7F"/>
      </right>
      <top style="thin">
        <color rgb="FF7F7F7F"/>
      </top>
      <bottom style="thin">
        <color rgb="FF7F7F7F"/>
      </bottom>
      <diagonal/>
    </border>
    <border>
      <left style="thin">
        <color rgb="FF3F3F3F"/>
      </left>
      <right style="thin">
        <color rgb="FF3F3F3F"/>
      </right>
      <top style="thin">
        <color rgb="FF3F3F3F"/>
      </top>
      <bottom style="thin">
        <color rgb="FF3F3F3F"/>
      </bottom>
      <diagonal/>
    </border>
    <border>
      <left/>
      <right/>
      <top/>
      <bottom style="double">
        <color rgb="FFFF8001"/>
      </bottom>
      <diagonal/>
    </border>
    <border>
      <left style="double">
        <color rgb="FF3F3F3F"/>
      </left>
      <right style="double">
        <color rgb="FF3F3F3F"/>
      </right>
      <top style="double">
        <color rgb="FF3F3F3F"/>
      </top>
      <bottom style="double">
        <color rgb="FF3F3F3F"/>
      </bottom>
      <diagonal/>
    </border>
    <border>
      <left style="thin">
        <color rgb="FFB2B2B2"/>
      </left>
      <right style="thin">
        <color rgb="FFB2B2B2"/>
      </right>
      <top style="thin">
        <color rgb="FFB2B2B2"/>
      </top>
      <bottom style="thin">
        <color rgb="FFB2B2B2"/>
      </bottom>
      <diagonal/>
    </border>
    <border>
      <left/>
      <right/>
      <top style="thin">
        <color theme="4"/>
      </top>
      <bottom style="double">
        <color theme="4"/>
      </bottom>
      <diagonal/>
    </border>
    <border>
      <left style="medium">
        <color rgb="FFDDDDDD"/>
      </left>
      <right style="medium">
        <color rgb="FFDDDDDD"/>
      </right>
      <top style="medium">
        <color rgb="FFDDDDDD"/>
      </top>
      <bottom style="medium">
        <color rgb="FFDDDDDD"/>
      </bottom>
      <diagonal/>
    </border>
  </borders>
  <cellStyleXfs count="42">
    <xf numFmtId="0" fontId="0" fillId="0" borderId="0"/>
    <xf numFmtId="0" fontId="2" fillId="0" borderId="0" applyNumberFormat="0" applyFill="0" applyBorder="0" applyAlignment="0" applyProtection="0"/>
    <xf numFmtId="0" fontId="3" fillId="0" borderId="1" applyNumberFormat="0" applyFill="0" applyAlignment="0" applyProtection="0"/>
    <xf numFmtId="0" fontId="4" fillId="0" borderId="2" applyNumberFormat="0" applyFill="0" applyAlignment="0" applyProtection="0"/>
    <xf numFmtId="0" fontId="5" fillId="0" borderId="3" applyNumberFormat="0" applyFill="0" applyAlignment="0" applyProtection="0"/>
    <xf numFmtId="0" fontId="5" fillId="0" borderId="0" applyNumberFormat="0" applyFill="0" applyBorder="0" applyAlignment="0" applyProtection="0"/>
    <xf numFmtId="0" fontId="6" fillId="2" borderId="0" applyNumberFormat="0" applyBorder="0" applyAlignment="0" applyProtection="0"/>
    <xf numFmtId="0" fontId="7" fillId="3" borderId="0" applyNumberFormat="0" applyBorder="0" applyAlignment="0" applyProtection="0"/>
    <xf numFmtId="0" fontId="8" fillId="4" borderId="0" applyNumberFormat="0" applyBorder="0" applyAlignment="0" applyProtection="0"/>
    <xf numFmtId="0" fontId="9" fillId="5" borderId="4" applyNumberFormat="0" applyAlignment="0" applyProtection="0"/>
    <xf numFmtId="0" fontId="10" fillId="6" borderId="5" applyNumberFormat="0" applyAlignment="0" applyProtection="0"/>
    <xf numFmtId="0" fontId="11" fillId="6" borderId="4" applyNumberFormat="0" applyAlignment="0" applyProtection="0"/>
    <xf numFmtId="0" fontId="12" fillId="0" borderId="6" applyNumberFormat="0" applyFill="0" applyAlignment="0" applyProtection="0"/>
    <xf numFmtId="0" fontId="13" fillId="7" borderId="7" applyNumberFormat="0" applyAlignment="0" applyProtection="0"/>
    <xf numFmtId="0" fontId="14" fillId="0" borderId="0" applyNumberFormat="0" applyFill="0" applyBorder="0" applyAlignment="0" applyProtection="0"/>
    <xf numFmtId="0" fontId="1" fillId="8" borderId="8" applyNumberFormat="0" applyFont="0" applyAlignment="0" applyProtection="0"/>
    <xf numFmtId="0" fontId="15" fillId="0" borderId="0" applyNumberFormat="0" applyFill="0" applyBorder="0" applyAlignment="0" applyProtection="0"/>
    <xf numFmtId="0" fontId="16" fillId="0" borderId="9" applyNumberFormat="0" applyFill="0" applyAlignment="0" applyProtection="0"/>
    <xf numFmtId="0" fontId="17" fillId="9" borderId="0" applyNumberFormat="0" applyBorder="0" applyAlignment="0" applyProtection="0"/>
    <xf numFmtId="0" fontId="1" fillId="10" borderId="0" applyNumberFormat="0" applyBorder="0" applyAlignment="0" applyProtection="0"/>
    <xf numFmtId="0" fontId="1" fillId="11" borderId="0" applyNumberFormat="0" applyBorder="0" applyAlignment="0" applyProtection="0"/>
    <xf numFmtId="0" fontId="1" fillId="12" borderId="0" applyNumberFormat="0" applyBorder="0" applyAlignment="0" applyProtection="0"/>
    <xf numFmtId="0" fontId="17" fillId="13" borderId="0" applyNumberFormat="0" applyBorder="0" applyAlignment="0" applyProtection="0"/>
    <xf numFmtId="0" fontId="1" fillId="14" borderId="0" applyNumberFormat="0" applyBorder="0" applyAlignment="0" applyProtection="0"/>
    <xf numFmtId="0" fontId="1" fillId="15" borderId="0" applyNumberFormat="0" applyBorder="0" applyAlignment="0" applyProtection="0"/>
    <xf numFmtId="0" fontId="1" fillId="16" borderId="0" applyNumberFormat="0" applyBorder="0" applyAlignment="0" applyProtection="0"/>
    <xf numFmtId="0" fontId="17" fillId="17" borderId="0" applyNumberFormat="0" applyBorder="0" applyAlignment="0" applyProtection="0"/>
    <xf numFmtId="0" fontId="1" fillId="18" borderId="0" applyNumberFormat="0" applyBorder="0" applyAlignment="0" applyProtection="0"/>
    <xf numFmtId="0" fontId="1" fillId="19" borderId="0" applyNumberFormat="0" applyBorder="0" applyAlignment="0" applyProtection="0"/>
    <xf numFmtId="0" fontId="1" fillId="20" borderId="0" applyNumberFormat="0" applyBorder="0" applyAlignment="0" applyProtection="0"/>
    <xf numFmtId="0" fontId="17" fillId="21" borderId="0" applyNumberFormat="0" applyBorder="0" applyAlignment="0" applyProtection="0"/>
    <xf numFmtId="0" fontId="1" fillId="22" borderId="0" applyNumberFormat="0" applyBorder="0" applyAlignment="0" applyProtection="0"/>
    <xf numFmtId="0" fontId="1" fillId="23" borderId="0" applyNumberFormat="0" applyBorder="0" applyAlignment="0" applyProtection="0"/>
    <xf numFmtId="0" fontId="1" fillId="24" borderId="0" applyNumberFormat="0" applyBorder="0" applyAlignment="0" applyProtection="0"/>
    <xf numFmtId="0" fontId="17" fillId="25" borderId="0" applyNumberFormat="0" applyBorder="0" applyAlignment="0" applyProtection="0"/>
    <xf numFmtId="0" fontId="1" fillId="26" borderId="0" applyNumberFormat="0" applyBorder="0" applyAlignment="0" applyProtection="0"/>
    <xf numFmtId="0" fontId="1" fillId="27" borderId="0" applyNumberFormat="0" applyBorder="0" applyAlignment="0" applyProtection="0"/>
    <xf numFmtId="0" fontId="1" fillId="28" borderId="0" applyNumberFormat="0" applyBorder="0" applyAlignment="0" applyProtection="0"/>
    <xf numFmtId="0" fontId="17" fillId="29" borderId="0" applyNumberFormat="0" applyBorder="0" applyAlignment="0" applyProtection="0"/>
    <xf numFmtId="0" fontId="1" fillId="30" borderId="0" applyNumberFormat="0" applyBorder="0" applyAlignment="0" applyProtection="0"/>
    <xf numFmtId="0" fontId="1" fillId="31" borderId="0" applyNumberFormat="0" applyBorder="0" applyAlignment="0" applyProtection="0"/>
    <xf numFmtId="0" fontId="1" fillId="32" borderId="0" applyNumberFormat="0" applyBorder="0" applyAlignment="0" applyProtection="0"/>
  </cellStyleXfs>
  <cellXfs count="7">
    <xf numFmtId="0" fontId="0" fillId="0" borderId="0" xfId="0"/>
    <xf numFmtId="0" fontId="18" fillId="0" borderId="0" xfId="0" applyFont="1"/>
    <xf numFmtId="0" fontId="19" fillId="33" borderId="10" xfId="0" applyFont="1" applyFill="1" applyBorder="1" applyAlignment="1">
      <alignment wrapText="1"/>
    </xf>
    <xf numFmtId="0" fontId="18" fillId="0" borderId="10" xfId="0" applyFont="1" applyBorder="1" applyAlignment="1">
      <alignment wrapText="1"/>
    </xf>
    <xf numFmtId="17" fontId="18" fillId="0" borderId="10" xfId="0" applyNumberFormat="1" applyFont="1" applyBorder="1" applyAlignment="1">
      <alignment wrapText="1"/>
    </xf>
    <xf numFmtId="14" fontId="18" fillId="0" borderId="10" xfId="0" applyNumberFormat="1" applyFont="1" applyBorder="1" applyAlignment="1">
      <alignment horizontal="center" wrapText="1"/>
    </xf>
    <xf numFmtId="0" fontId="18" fillId="0" borderId="10" xfId="0" applyFont="1" applyBorder="1" applyAlignment="1">
      <alignment horizontal="center" wrapText="1"/>
    </xf>
  </cellXfs>
  <cellStyles count="42">
    <cellStyle name="20% - Ênfase1" xfId="19" builtinId="30" customBuiltin="1"/>
    <cellStyle name="20% - Ênfase2" xfId="23" builtinId="34" customBuiltin="1"/>
    <cellStyle name="20% - Ênfase3" xfId="27" builtinId="38" customBuiltin="1"/>
    <cellStyle name="20% - Ênfase4" xfId="31" builtinId="42" customBuiltin="1"/>
    <cellStyle name="20% - Ênfase5" xfId="35" builtinId="46" customBuiltin="1"/>
    <cellStyle name="20% - Ênfase6" xfId="39" builtinId="50" customBuiltin="1"/>
    <cellStyle name="40% - Ênfase1" xfId="20" builtinId="31" customBuiltin="1"/>
    <cellStyle name="40% - Ênfase2" xfId="24" builtinId="35" customBuiltin="1"/>
    <cellStyle name="40% - Ênfase3" xfId="28" builtinId="39" customBuiltin="1"/>
    <cellStyle name="40% - Ênfase4" xfId="32" builtinId="43" customBuiltin="1"/>
    <cellStyle name="40% - Ênfase5" xfId="36" builtinId="47" customBuiltin="1"/>
    <cellStyle name="40% - Ênfase6" xfId="40" builtinId="51" customBuiltin="1"/>
    <cellStyle name="60% - Ênfase1" xfId="21" builtinId="32" customBuiltin="1"/>
    <cellStyle name="60% - Ênfase2" xfId="25" builtinId="36" customBuiltin="1"/>
    <cellStyle name="60% - Ênfase3" xfId="29" builtinId="40" customBuiltin="1"/>
    <cellStyle name="60% - Ênfase4" xfId="33" builtinId="44" customBuiltin="1"/>
    <cellStyle name="60% - Ênfase5" xfId="37" builtinId="48" customBuiltin="1"/>
    <cellStyle name="60% - Ênfase6" xfId="41" builtinId="52" customBuiltin="1"/>
    <cellStyle name="Bom" xfId="6" builtinId="26" customBuiltin="1"/>
    <cellStyle name="Cálculo" xfId="11" builtinId="22" customBuiltin="1"/>
    <cellStyle name="Célula de Verificação" xfId="13" builtinId="23" customBuiltin="1"/>
    <cellStyle name="Célula Vinculada" xfId="12" builtinId="24" customBuiltin="1"/>
    <cellStyle name="Ênfase1" xfId="18" builtinId="29" customBuiltin="1"/>
    <cellStyle name="Ênfase2" xfId="22" builtinId="33" customBuiltin="1"/>
    <cellStyle name="Ênfase3" xfId="26" builtinId="37" customBuiltin="1"/>
    <cellStyle name="Ênfase4" xfId="30" builtinId="41" customBuiltin="1"/>
    <cellStyle name="Ênfase5" xfId="34" builtinId="45" customBuiltin="1"/>
    <cellStyle name="Ênfase6" xfId="38" builtinId="49" customBuiltin="1"/>
    <cellStyle name="Entrada" xfId="9" builtinId="20" customBuiltin="1"/>
    <cellStyle name="Neutro" xfId="8" builtinId="28" customBuiltin="1"/>
    <cellStyle name="Normal" xfId="0" builtinId="0"/>
    <cellStyle name="Nota" xfId="15" builtinId="10" customBuiltin="1"/>
    <cellStyle name="Ruim" xfId="7" builtinId="27" customBuiltin="1"/>
    <cellStyle name="Saída" xfId="10" builtinId="21" customBuiltin="1"/>
    <cellStyle name="Texto de Aviso" xfId="14" builtinId="11" customBuiltin="1"/>
    <cellStyle name="Texto Explicativo" xfId="16" builtinId="53" customBuiltin="1"/>
    <cellStyle name="Título" xfId="1" builtinId="15" customBuiltin="1"/>
    <cellStyle name="Título 1" xfId="2" builtinId="16" customBuiltin="1"/>
    <cellStyle name="Título 2" xfId="3" builtinId="17" customBuiltin="1"/>
    <cellStyle name="Título 3" xfId="4" builtinId="18" customBuiltin="1"/>
    <cellStyle name="Título 4" xfId="5" builtinId="19" customBuiltin="1"/>
    <cellStyle name="Total" xfId="17" builtinId="25" customBuiltin="1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8" Type="http://schemas.openxmlformats.org/officeDocument/2006/relationships/customXml" Target="../customXml/item3.xml"/><Relationship Id="rId3" Type="http://schemas.openxmlformats.org/officeDocument/2006/relationships/styles" Target="styles.xml"/><Relationship Id="rId7" Type="http://schemas.openxmlformats.org/officeDocument/2006/relationships/customXml" Target="../customXml/item2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6" Type="http://schemas.openxmlformats.org/officeDocument/2006/relationships/customXml" Target="../customXml/item1.xml"/><Relationship Id="rId5" Type="http://schemas.openxmlformats.org/officeDocument/2006/relationships/calcChain" Target="calcChain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Office">
      <a:dk1>
        <a:sysClr val="windowText" lastClr="000000"/>
      </a:dk1>
      <a:lt1>
        <a:sysClr val="window" lastClr="FFFFFF"/>
      </a:lt1>
      <a:dk2>
        <a:srgbClr val="44546A"/>
      </a:dk2>
      <a:lt2>
        <a:srgbClr val="E7E6E6"/>
      </a:lt2>
      <a:accent1>
        <a:srgbClr val="4472C4"/>
      </a:accent1>
      <a:accent2>
        <a:srgbClr val="ED7D31"/>
      </a:accent2>
      <a:accent3>
        <a:srgbClr val="A5A5A5"/>
      </a:accent3>
      <a:accent4>
        <a:srgbClr val="FFC000"/>
      </a:accent4>
      <a:accent5>
        <a:srgbClr val="5B9BD5"/>
      </a:accent5>
      <a:accent6>
        <a:srgbClr val="70AD47"/>
      </a:accent6>
      <a:hlink>
        <a:srgbClr val="0563C1"/>
      </a:hlink>
      <a:folHlink>
        <a:srgbClr val="954F72"/>
      </a:folHlink>
    </a:clrScheme>
    <a:fontScheme name="Office">
      <a:majorFont>
        <a:latin typeface="Calibri Light" panose="020F0302020204030204"/>
        <a:ea typeface=""/>
        <a:cs typeface=""/>
        <a:font script="Jpan" typeface="游ゴシック Light"/>
        <a:font script="Hang" typeface="맑은 고딕"/>
        <a:font script="Hans" typeface="等线 Light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ajorFont>
      <a:minorFont>
        <a:latin typeface="Calibri" panose="020F0502020204030204"/>
        <a:ea typeface=""/>
        <a:cs typeface=""/>
        <a:font script="Jpan" typeface="游ゴシック"/>
        <a:font script="Hang" typeface="맑은 고딕"/>
        <a:font script="Hans" typeface="等线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  <a:font script="Armn" typeface="Arial"/>
        <a:font script="Bugi" typeface="Leelawadee UI"/>
        <a:font script="Bopo" typeface="Microsoft JhengHei"/>
        <a:font script="Java" typeface="Javanese Text"/>
        <a:font script="Lisu" typeface="Segoe UI"/>
        <a:font script="Mymr" typeface="Myanmar Text"/>
        <a:font script="Nkoo" typeface="Ebrima"/>
        <a:font script="Olck" typeface="Nirmala UI"/>
        <a:font script="Osma" typeface="Ebrima"/>
        <a:font script="Phag" typeface="Phagspa"/>
        <a:font script="Syrn" typeface="Estrangelo Edessa"/>
        <a:font script="Syrj" typeface="Estrangelo Edessa"/>
        <a:font script="Syre" typeface="Estrangelo Edessa"/>
        <a:font script="Sora" typeface="Nirmala UI"/>
        <a:font script="Tale" typeface="Microsoft Tai Le"/>
        <a:font script="Talu" typeface="Microsoft New Tai Lue"/>
        <a:font script="Tfng" typeface="Ebrima"/>
      </a:minorFont>
    </a:fontScheme>
    <a:fmtScheme name="Office">
      <a:fillStyleLst>
        <a:solidFill>
          <a:schemeClr val="phClr"/>
        </a:solidFill>
        <a:gradFill rotWithShape="1">
          <a:gsLst>
            <a:gs pos="0">
              <a:schemeClr val="phClr">
                <a:lumMod val="110000"/>
                <a:satMod val="105000"/>
                <a:tint val="67000"/>
              </a:schemeClr>
            </a:gs>
            <a:gs pos="50000">
              <a:schemeClr val="phClr">
                <a:lumMod val="105000"/>
                <a:satMod val="103000"/>
                <a:tint val="73000"/>
              </a:schemeClr>
            </a:gs>
            <a:gs pos="100000">
              <a:schemeClr val="phClr">
                <a:lumMod val="105000"/>
                <a:satMod val="109000"/>
                <a:tint val="81000"/>
              </a:schemeClr>
            </a:gs>
          </a:gsLst>
          <a:lin ang="5400000" scaled="0"/>
        </a:gradFill>
        <a:gradFill rotWithShape="1">
          <a:gsLst>
            <a:gs pos="0">
              <a:schemeClr val="phClr">
                <a:satMod val="103000"/>
                <a:lumMod val="102000"/>
                <a:tint val="94000"/>
              </a:schemeClr>
            </a:gs>
            <a:gs pos="50000">
              <a:schemeClr val="phClr">
                <a:satMod val="110000"/>
                <a:lumMod val="100000"/>
                <a:shade val="100000"/>
              </a:schemeClr>
            </a:gs>
            <a:gs pos="100000">
              <a:schemeClr val="phClr">
                <a:lumMod val="99000"/>
                <a:satMod val="120000"/>
                <a:shade val="78000"/>
              </a:schemeClr>
            </a:gs>
          </a:gsLst>
          <a:lin ang="5400000" scaled="0"/>
        </a:gradFill>
      </a:fillStyleLst>
      <a:lnStyleLst>
        <a:ln w="6350" cap="flat" cmpd="sng" algn="ctr">
          <a:solidFill>
            <a:schemeClr val="phClr"/>
          </a:solidFill>
          <a:prstDash val="solid"/>
          <a:miter lim="800000"/>
        </a:ln>
        <a:ln w="12700" cap="flat" cmpd="sng" algn="ctr">
          <a:solidFill>
            <a:schemeClr val="phClr"/>
          </a:solidFill>
          <a:prstDash val="solid"/>
          <a:miter lim="800000"/>
        </a:ln>
        <a:ln w="19050" cap="flat" cmpd="sng" algn="ctr">
          <a:solidFill>
            <a:schemeClr val="phClr"/>
          </a:solidFill>
          <a:prstDash val="solid"/>
          <a:miter lim="800000"/>
        </a:ln>
      </a:lnStyleLst>
      <a:effectStyleLst>
        <a:effectStyle>
          <a:effectLst/>
        </a:effectStyle>
        <a:effectStyle>
          <a:effectLst/>
        </a:effectStyle>
        <a:effectStyle>
          <a:effectLst>
            <a:outerShdw blurRad="57150" dist="19050" dir="5400000" algn="ctr" rotWithShape="0">
              <a:srgbClr val="000000">
                <a:alpha val="63000"/>
              </a:srgbClr>
            </a:outerShdw>
          </a:effectLst>
        </a:effectStyle>
      </a:effectStyleLst>
      <a:bgFillStyleLst>
        <a:solidFill>
          <a:schemeClr val="phClr"/>
        </a:solidFill>
        <a:solidFill>
          <a:schemeClr val="phClr">
            <a:tint val="95000"/>
            <a:satMod val="170000"/>
          </a:schemeClr>
        </a:solidFill>
        <a:gradFill rotWithShape="1">
          <a:gsLst>
            <a:gs pos="0">
              <a:schemeClr val="phClr">
                <a:tint val="93000"/>
                <a:satMod val="150000"/>
                <a:shade val="98000"/>
                <a:lumMod val="102000"/>
              </a:schemeClr>
            </a:gs>
            <a:gs pos="50000">
              <a:schemeClr val="phClr">
                <a:tint val="98000"/>
                <a:satMod val="130000"/>
                <a:shade val="90000"/>
                <a:lumMod val="103000"/>
              </a:schemeClr>
            </a:gs>
            <a:gs pos="100000">
              <a:schemeClr val="phClr">
                <a:shade val="63000"/>
                <a:satMod val="120000"/>
              </a:schemeClr>
            </a:gs>
          </a:gsLst>
          <a:lin ang="5400000" scaled="0"/>
        </a:gradFill>
      </a:bgFillStyleLst>
    </a:fmtScheme>
  </a:themeElements>
  <a:objectDefaults/>
  <a:extraClrSchemeLst/>
  <a:extLst>
    <a:ext uri="{05A4C25C-085E-4340-85A3-A5531E510DB2}">
      <thm15:themeFamily xmlns:thm15="http://schemas.microsoft.com/office/thememl/2012/main" name="Office Theme" id="{62F939B6-93AF-4DB8-9C6B-D6C7DFDC589F}" vid="{4A3C46E8-61CC-4603-A589-7422A47A8E4A}"/>
    </a:ext>
  </a:extLst>
</a:theme>
</file>

<file path=xl/worksheets/sheet1.xml><?xml version="1.0" encoding="utf-8"?>
<worksheet xmlns="http://schemas.openxmlformats.org/spreadsheetml/2006/main" xmlns:r="http://schemas.openxmlformats.org/officeDocument/2006/relationships" xmlns:mc="http://schemas.openxmlformats.org/markup-compatibility/2006" xmlns:x14ac="http://schemas.microsoft.com/office/spreadsheetml/2009/9/ac" mc:Ignorable="x14ac">
  <dimension ref="A1:N166"/>
  <sheetViews>
    <sheetView showGridLines="0" tabSelected="1" topLeftCell="C1" zoomScale="70" zoomScaleNormal="70" workbookViewId="0">
      <selection activeCell="N5" sqref="N5"/>
    </sheetView>
  </sheetViews>
  <sheetFormatPr defaultRowHeight="13.5" x14ac:dyDescent="0.25"/>
  <cols>
    <col min="1" max="1" width="7.6328125" style="1" customWidth="1"/>
    <col min="2" max="2" width="34.6328125" style="1" bestFit="1" customWidth="1"/>
    <col min="3" max="3" width="11.453125" style="1" bestFit="1" customWidth="1"/>
    <col min="4" max="4" width="16.54296875" style="1" bestFit="1" customWidth="1"/>
    <col min="5" max="5" width="24.453125" style="1" bestFit="1" customWidth="1"/>
    <col min="6" max="6" width="6.54296875" style="1" bestFit="1" customWidth="1"/>
    <col min="7" max="7" width="13.90625" style="1" bestFit="1" customWidth="1"/>
    <col min="8" max="8" width="16.36328125" style="1" bestFit="1" customWidth="1"/>
    <col min="9" max="9" width="14.1796875" style="1" bestFit="1" customWidth="1"/>
    <col min="10" max="10" width="25.6328125" style="1" bestFit="1" customWidth="1"/>
    <col min="11" max="11" width="35" style="1" bestFit="1" customWidth="1"/>
    <col min="12" max="12" width="14.6328125" style="1" bestFit="1" customWidth="1"/>
    <col min="13" max="13" width="22.54296875" style="1" bestFit="1" customWidth="1"/>
    <col min="14" max="14" width="12.08984375" style="1" bestFit="1" customWidth="1"/>
    <col min="15" max="16384" width="8.7265625" style="1"/>
  </cols>
  <sheetData>
    <row r="1" spans="1:14" ht="27.5" thickBot="1" x14ac:dyDescent="0.3">
      <c r="A1" s="2" t="s">
        <v>0</v>
      </c>
      <c r="B1" s="2" t="s">
        <v>1</v>
      </c>
      <c r="C1" s="2" t="s">
        <v>2</v>
      </c>
      <c r="D1" s="2" t="s">
        <v>3</v>
      </c>
      <c r="E1" s="2" t="s">
        <v>4</v>
      </c>
      <c r="F1" s="2" t="s">
        <v>5</v>
      </c>
      <c r="G1" s="2" t="s">
        <v>6</v>
      </c>
      <c r="H1" s="2" t="s">
        <v>7</v>
      </c>
      <c r="I1" s="2" t="s">
        <v>8</v>
      </c>
      <c r="J1" s="2" t="s">
        <v>9</v>
      </c>
      <c r="K1" s="2" t="s">
        <v>10</v>
      </c>
      <c r="L1" s="2" t="s">
        <v>11</v>
      </c>
      <c r="M1" s="2" t="s">
        <v>206</v>
      </c>
      <c r="N1" s="2" t="s">
        <v>13</v>
      </c>
    </row>
    <row r="2" spans="1:14" ht="27.5" thickBot="1" x14ac:dyDescent="0.3">
      <c r="A2" s="3" t="s">
        <v>14</v>
      </c>
      <c r="B2" s="3" t="s">
        <v>15</v>
      </c>
      <c r="C2" s="4">
        <v>46204</v>
      </c>
      <c r="D2" s="3" t="str">
        <f>"000300271509"</f>
        <v>000300271509</v>
      </c>
      <c r="E2" s="3" t="str">
        <f>"000000000016508971"</f>
        <v>000000000016508971</v>
      </c>
      <c r="F2" s="3" t="s">
        <v>16</v>
      </c>
      <c r="G2" s="3" t="s">
        <v>17</v>
      </c>
      <c r="H2" s="3" t="s">
        <v>17</v>
      </c>
      <c r="I2" s="5">
        <v>46206</v>
      </c>
      <c r="J2" s="3" t="s">
        <v>18</v>
      </c>
      <c r="K2" s="3" t="s">
        <v>19</v>
      </c>
      <c r="L2" s="3" t="s">
        <v>20</v>
      </c>
      <c r="M2" s="6" t="s">
        <v>200</v>
      </c>
      <c r="N2" s="6"/>
    </row>
    <row r="3" spans="1:14" ht="41" thickBot="1" x14ac:dyDescent="0.3">
      <c r="A3" s="3" t="s">
        <v>14</v>
      </c>
      <c r="B3" s="3" t="s">
        <v>15</v>
      </c>
      <c r="C3" s="4">
        <v>46235</v>
      </c>
      <c r="D3" s="3" t="str">
        <f>"000300275908"</f>
        <v>000300275908</v>
      </c>
      <c r="E3" s="3" t="str">
        <f t="shared" ref="E3:E8" si="0">"000000000016223608"</f>
        <v>000000000016223608</v>
      </c>
      <c r="F3" s="3" t="s">
        <v>16</v>
      </c>
      <c r="G3" s="3" t="s">
        <v>21</v>
      </c>
      <c r="H3" s="3" t="s">
        <v>22</v>
      </c>
      <c r="I3" s="5">
        <v>46204</v>
      </c>
      <c r="J3" s="3" t="s">
        <v>18</v>
      </c>
      <c r="K3" s="3" t="s">
        <v>23</v>
      </c>
      <c r="L3" s="3" t="s">
        <v>20</v>
      </c>
      <c r="M3" s="6" t="s">
        <v>200</v>
      </c>
      <c r="N3" s="6"/>
    </row>
    <row r="4" spans="1:14" ht="27.5" thickBot="1" x14ac:dyDescent="0.3">
      <c r="A4" s="3" t="s">
        <v>14</v>
      </c>
      <c r="B4" s="3" t="s">
        <v>15</v>
      </c>
      <c r="C4" s="4">
        <v>46235</v>
      </c>
      <c r="D4" s="3" t="str">
        <f>"000300275908"</f>
        <v>000300275908</v>
      </c>
      <c r="E4" s="3" t="str">
        <f t="shared" si="0"/>
        <v>000000000016223608</v>
      </c>
      <c r="F4" s="3" t="s">
        <v>16</v>
      </c>
      <c r="G4" s="3" t="s">
        <v>21</v>
      </c>
      <c r="H4" s="3" t="s">
        <v>21</v>
      </c>
      <c r="I4" s="5">
        <v>46206</v>
      </c>
      <c r="J4" s="3" t="s">
        <v>18</v>
      </c>
      <c r="K4" s="3" t="s">
        <v>24</v>
      </c>
      <c r="L4" s="3" t="s">
        <v>20</v>
      </c>
      <c r="M4" s="6" t="s">
        <v>200</v>
      </c>
      <c r="N4" s="6"/>
    </row>
    <row r="5" spans="1:14" ht="41" thickBot="1" x14ac:dyDescent="0.3">
      <c r="A5" s="3" t="s">
        <v>14</v>
      </c>
      <c r="B5" s="3" t="s">
        <v>15</v>
      </c>
      <c r="C5" s="4">
        <v>46235</v>
      </c>
      <c r="D5" s="3" t="str">
        <f>"000300275921"</f>
        <v>000300275921</v>
      </c>
      <c r="E5" s="3" t="str">
        <f t="shared" si="0"/>
        <v>000000000016223608</v>
      </c>
      <c r="F5" s="3" t="s">
        <v>16</v>
      </c>
      <c r="G5" s="3" t="s">
        <v>21</v>
      </c>
      <c r="H5" s="3" t="s">
        <v>25</v>
      </c>
      <c r="I5" s="5">
        <v>46204</v>
      </c>
      <c r="J5" s="3" t="s">
        <v>18</v>
      </c>
      <c r="K5" s="3" t="s">
        <v>23</v>
      </c>
      <c r="L5" s="3" t="s">
        <v>20</v>
      </c>
      <c r="M5" s="6" t="s">
        <v>200</v>
      </c>
      <c r="N5" s="6"/>
    </row>
    <row r="6" spans="1:14" ht="27.5" thickBot="1" x14ac:dyDescent="0.3">
      <c r="A6" s="3" t="s">
        <v>14</v>
      </c>
      <c r="B6" s="3" t="s">
        <v>15</v>
      </c>
      <c r="C6" s="4">
        <v>46235</v>
      </c>
      <c r="D6" s="3" t="str">
        <f>"000300275921"</f>
        <v>000300275921</v>
      </c>
      <c r="E6" s="3" t="str">
        <f t="shared" si="0"/>
        <v>000000000016223608</v>
      </c>
      <c r="F6" s="3" t="s">
        <v>16</v>
      </c>
      <c r="G6" s="3" t="s">
        <v>21</v>
      </c>
      <c r="H6" s="3" t="s">
        <v>21</v>
      </c>
      <c r="I6" s="5">
        <v>46206</v>
      </c>
      <c r="J6" s="3" t="s">
        <v>18</v>
      </c>
      <c r="K6" s="3" t="s">
        <v>24</v>
      </c>
      <c r="L6" s="3" t="s">
        <v>20</v>
      </c>
      <c r="M6" s="6" t="s">
        <v>200</v>
      </c>
      <c r="N6" s="6"/>
    </row>
    <row r="7" spans="1:14" ht="41" thickBot="1" x14ac:dyDescent="0.3">
      <c r="A7" s="3" t="s">
        <v>14</v>
      </c>
      <c r="B7" s="3" t="s">
        <v>15</v>
      </c>
      <c r="C7" s="4">
        <v>46235</v>
      </c>
      <c r="D7" s="3" t="str">
        <f>"000300275923"</f>
        <v>000300275923</v>
      </c>
      <c r="E7" s="3" t="str">
        <f t="shared" si="0"/>
        <v>000000000016223608</v>
      </c>
      <c r="F7" s="3" t="s">
        <v>16</v>
      </c>
      <c r="G7" s="3" t="s">
        <v>22</v>
      </c>
      <c r="H7" s="3" t="s">
        <v>22</v>
      </c>
      <c r="I7" s="5">
        <v>46204</v>
      </c>
      <c r="J7" s="3" t="s">
        <v>18</v>
      </c>
      <c r="K7" s="3" t="s">
        <v>23</v>
      </c>
      <c r="L7" s="3" t="s">
        <v>20</v>
      </c>
      <c r="M7" s="6" t="s">
        <v>200</v>
      </c>
      <c r="N7" s="6"/>
    </row>
    <row r="8" spans="1:14" ht="27.5" thickBot="1" x14ac:dyDescent="0.3">
      <c r="A8" s="3" t="s">
        <v>14</v>
      </c>
      <c r="B8" s="3" t="s">
        <v>15</v>
      </c>
      <c r="C8" s="4">
        <v>46235</v>
      </c>
      <c r="D8" s="3" t="str">
        <f>"000300275923"</f>
        <v>000300275923</v>
      </c>
      <c r="E8" s="3" t="str">
        <f t="shared" si="0"/>
        <v>000000000016223608</v>
      </c>
      <c r="F8" s="3" t="s">
        <v>16</v>
      </c>
      <c r="G8" s="3" t="s">
        <v>22</v>
      </c>
      <c r="H8" s="3" t="s">
        <v>22</v>
      </c>
      <c r="I8" s="5">
        <v>46206</v>
      </c>
      <c r="J8" s="3" t="s">
        <v>18</v>
      </c>
      <c r="K8" s="3" t="s">
        <v>24</v>
      </c>
      <c r="L8" s="3" t="s">
        <v>20</v>
      </c>
      <c r="M8" s="6" t="s">
        <v>200</v>
      </c>
      <c r="N8" s="6"/>
    </row>
    <row r="9" spans="1:14" ht="54.5" thickBot="1" x14ac:dyDescent="0.3">
      <c r="A9" s="3" t="s">
        <v>14</v>
      </c>
      <c r="B9" s="3" t="s">
        <v>26</v>
      </c>
      <c r="C9" s="4">
        <v>46235</v>
      </c>
      <c r="D9" s="3" t="str">
        <f>"000300266684"</f>
        <v>000300266684</v>
      </c>
      <c r="E9" s="3" t="str">
        <f>"000000000016445015"</f>
        <v>000000000016445015</v>
      </c>
      <c r="F9" s="3" t="s">
        <v>16</v>
      </c>
      <c r="G9" s="3" t="s">
        <v>27</v>
      </c>
      <c r="H9" s="3" t="s">
        <v>22</v>
      </c>
      <c r="I9" s="5">
        <v>46183</v>
      </c>
      <c r="J9" s="3" t="s">
        <v>28</v>
      </c>
      <c r="K9" s="3" t="s">
        <v>29</v>
      </c>
      <c r="L9" s="3" t="s">
        <v>20</v>
      </c>
      <c r="M9" s="6" t="s">
        <v>201</v>
      </c>
      <c r="N9" s="6"/>
    </row>
    <row r="10" spans="1:14" ht="27.5" thickBot="1" x14ac:dyDescent="0.3">
      <c r="A10" s="3" t="s">
        <v>14</v>
      </c>
      <c r="B10" s="3" t="s">
        <v>30</v>
      </c>
      <c r="C10" s="4">
        <v>46113</v>
      </c>
      <c r="D10" s="3" t="str">
        <f>"000300256010"</f>
        <v>000300256010</v>
      </c>
      <c r="E10" s="3" t="str">
        <f>"000000000016477707"</f>
        <v>000000000016477707</v>
      </c>
      <c r="F10" s="3" t="s">
        <v>16</v>
      </c>
      <c r="G10" s="3" t="s">
        <v>27</v>
      </c>
      <c r="H10" s="3" t="s">
        <v>22</v>
      </c>
      <c r="I10" s="5">
        <v>46142</v>
      </c>
      <c r="J10" s="3" t="s">
        <v>18</v>
      </c>
      <c r="K10" s="3" t="s">
        <v>31</v>
      </c>
      <c r="L10" s="3" t="s">
        <v>20</v>
      </c>
      <c r="M10" s="6" t="s">
        <v>200</v>
      </c>
      <c r="N10" s="6"/>
    </row>
    <row r="11" spans="1:14" ht="27.5" thickBot="1" x14ac:dyDescent="0.3">
      <c r="A11" s="3" t="s">
        <v>14</v>
      </c>
      <c r="B11" s="3" t="s">
        <v>30</v>
      </c>
      <c r="C11" s="4">
        <v>46113</v>
      </c>
      <c r="D11" s="3" t="str">
        <f>"000300256012"</f>
        <v>000300256012</v>
      </c>
      <c r="E11" s="3" t="str">
        <f>"000000000016477707"</f>
        <v>000000000016477707</v>
      </c>
      <c r="F11" s="3" t="s">
        <v>16</v>
      </c>
      <c r="G11" s="3" t="s">
        <v>27</v>
      </c>
      <c r="H11" s="3" t="s">
        <v>22</v>
      </c>
      <c r="I11" s="5">
        <v>46142</v>
      </c>
      <c r="J11" s="3" t="s">
        <v>18</v>
      </c>
      <c r="K11" s="3" t="s">
        <v>31</v>
      </c>
      <c r="L11" s="3" t="s">
        <v>20</v>
      </c>
      <c r="M11" s="6" t="s">
        <v>200</v>
      </c>
      <c r="N11" s="6"/>
    </row>
    <row r="12" spans="1:14" ht="27.5" thickBot="1" x14ac:dyDescent="0.3">
      <c r="A12" s="3" t="s">
        <v>14</v>
      </c>
      <c r="B12" s="3" t="s">
        <v>30</v>
      </c>
      <c r="C12" s="4">
        <v>46113</v>
      </c>
      <c r="D12" s="3" t="str">
        <f t="shared" ref="D12:D17" si="1">"000300257658"</f>
        <v>000300257658</v>
      </c>
      <c r="E12" s="3" t="str">
        <f t="shared" ref="E12:E17" si="2">"000000000016290844"</f>
        <v>000000000016290844</v>
      </c>
      <c r="F12" s="3" t="s">
        <v>16</v>
      </c>
      <c r="G12" s="3" t="s">
        <v>27</v>
      </c>
      <c r="H12" s="3" t="s">
        <v>22</v>
      </c>
      <c r="I12" s="5">
        <v>46142</v>
      </c>
      <c r="J12" s="3" t="s">
        <v>18</v>
      </c>
      <c r="K12" s="3" t="s">
        <v>31</v>
      </c>
      <c r="L12" s="3" t="s">
        <v>20</v>
      </c>
      <c r="M12" s="6" t="s">
        <v>200</v>
      </c>
      <c r="N12" s="6"/>
    </row>
    <row r="13" spans="1:14" ht="27.5" thickBot="1" x14ac:dyDescent="0.3">
      <c r="A13" s="3" t="s">
        <v>14</v>
      </c>
      <c r="B13" s="3" t="s">
        <v>30</v>
      </c>
      <c r="C13" s="4">
        <v>46113</v>
      </c>
      <c r="D13" s="3" t="str">
        <f t="shared" si="1"/>
        <v>000300257658</v>
      </c>
      <c r="E13" s="3" t="str">
        <f t="shared" si="2"/>
        <v>000000000016290844</v>
      </c>
      <c r="F13" s="3" t="s">
        <v>16</v>
      </c>
      <c r="G13" s="3" t="s">
        <v>27</v>
      </c>
      <c r="H13" s="3" t="s">
        <v>25</v>
      </c>
      <c r="I13" s="5">
        <v>46150</v>
      </c>
      <c r="J13" s="3" t="s">
        <v>32</v>
      </c>
      <c r="K13" s="3" t="s">
        <v>33</v>
      </c>
      <c r="L13" s="3" t="s">
        <v>20</v>
      </c>
      <c r="M13" s="6" t="s">
        <v>202</v>
      </c>
      <c r="N13" s="6"/>
    </row>
    <row r="14" spans="1:14" ht="27.5" thickBot="1" x14ac:dyDescent="0.3">
      <c r="A14" s="3" t="s">
        <v>14</v>
      </c>
      <c r="B14" s="3" t="s">
        <v>30</v>
      </c>
      <c r="C14" s="4">
        <v>46113</v>
      </c>
      <c r="D14" s="3" t="str">
        <f t="shared" si="1"/>
        <v>000300257658</v>
      </c>
      <c r="E14" s="3" t="str">
        <f t="shared" si="2"/>
        <v>000000000016290844</v>
      </c>
      <c r="F14" s="3" t="s">
        <v>16</v>
      </c>
      <c r="G14" s="3" t="s">
        <v>27</v>
      </c>
      <c r="H14" s="3" t="s">
        <v>25</v>
      </c>
      <c r="I14" s="5">
        <v>46150</v>
      </c>
      <c r="J14" s="3" t="s">
        <v>34</v>
      </c>
      <c r="K14" s="3" t="s">
        <v>35</v>
      </c>
      <c r="L14" s="3" t="s">
        <v>20</v>
      </c>
      <c r="M14" s="6" t="s">
        <v>204</v>
      </c>
      <c r="N14" s="6"/>
    </row>
    <row r="15" spans="1:14" ht="27.5" thickBot="1" x14ac:dyDescent="0.3">
      <c r="A15" s="3" t="s">
        <v>14</v>
      </c>
      <c r="B15" s="3" t="s">
        <v>30</v>
      </c>
      <c r="C15" s="4">
        <v>46113</v>
      </c>
      <c r="D15" s="3" t="str">
        <f t="shared" si="1"/>
        <v>000300257658</v>
      </c>
      <c r="E15" s="3" t="str">
        <f t="shared" si="2"/>
        <v>000000000016290844</v>
      </c>
      <c r="F15" s="3" t="s">
        <v>16</v>
      </c>
      <c r="G15" s="3" t="s">
        <v>27</v>
      </c>
      <c r="H15" s="3" t="s">
        <v>25</v>
      </c>
      <c r="I15" s="5">
        <v>46150</v>
      </c>
      <c r="J15" s="3" t="s">
        <v>18</v>
      </c>
      <c r="K15" s="3" t="s">
        <v>36</v>
      </c>
      <c r="L15" s="3" t="s">
        <v>20</v>
      </c>
      <c r="M15" s="6" t="s">
        <v>204</v>
      </c>
      <c r="N15" s="6"/>
    </row>
    <row r="16" spans="1:14" ht="27.5" thickBot="1" x14ac:dyDescent="0.3">
      <c r="A16" s="3" t="s">
        <v>14</v>
      </c>
      <c r="B16" s="3" t="s">
        <v>30</v>
      </c>
      <c r="C16" s="4">
        <v>46113</v>
      </c>
      <c r="D16" s="3" t="str">
        <f t="shared" si="1"/>
        <v>000300257658</v>
      </c>
      <c r="E16" s="3" t="str">
        <f t="shared" si="2"/>
        <v>000000000016290844</v>
      </c>
      <c r="F16" s="3" t="s">
        <v>16</v>
      </c>
      <c r="G16" s="3" t="s">
        <v>27</v>
      </c>
      <c r="H16" s="3" t="s">
        <v>25</v>
      </c>
      <c r="I16" s="5">
        <v>46150</v>
      </c>
      <c r="J16" s="3" t="s">
        <v>18</v>
      </c>
      <c r="K16" s="3" t="s">
        <v>37</v>
      </c>
      <c r="L16" s="3" t="s">
        <v>20</v>
      </c>
      <c r="M16" s="6" t="s">
        <v>204</v>
      </c>
      <c r="N16" s="6"/>
    </row>
    <row r="17" spans="1:14" ht="27.5" thickBot="1" x14ac:dyDescent="0.3">
      <c r="A17" s="3" t="s">
        <v>14</v>
      </c>
      <c r="B17" s="3" t="s">
        <v>30</v>
      </c>
      <c r="C17" s="4">
        <v>46113</v>
      </c>
      <c r="D17" s="3" t="str">
        <f t="shared" si="1"/>
        <v>000300257658</v>
      </c>
      <c r="E17" s="3" t="str">
        <f t="shared" si="2"/>
        <v>000000000016290844</v>
      </c>
      <c r="F17" s="3" t="s">
        <v>16</v>
      </c>
      <c r="G17" s="3" t="s">
        <v>27</v>
      </c>
      <c r="H17" s="3" t="s">
        <v>25</v>
      </c>
      <c r="I17" s="5">
        <v>46150</v>
      </c>
      <c r="J17" s="3" t="s">
        <v>18</v>
      </c>
      <c r="K17" s="3" t="s">
        <v>38</v>
      </c>
      <c r="L17" s="3" t="s">
        <v>20</v>
      </c>
      <c r="M17" s="6" t="s">
        <v>202</v>
      </c>
      <c r="N17" s="6"/>
    </row>
    <row r="18" spans="1:14" ht="27.5" thickBot="1" x14ac:dyDescent="0.3">
      <c r="A18" s="3" t="s">
        <v>14</v>
      </c>
      <c r="B18" s="3" t="s">
        <v>30</v>
      </c>
      <c r="C18" s="4">
        <v>46204</v>
      </c>
      <c r="D18" s="3" t="str">
        <f>"000300257735"</f>
        <v>000300257735</v>
      </c>
      <c r="E18" s="3" t="str">
        <f>"000000000016290887"</f>
        <v>000000000016290887</v>
      </c>
      <c r="F18" s="3" t="s">
        <v>16</v>
      </c>
      <c r="G18" s="3" t="s">
        <v>27</v>
      </c>
      <c r="H18" s="3" t="s">
        <v>22</v>
      </c>
      <c r="I18" s="5">
        <v>46142</v>
      </c>
      <c r="J18" s="3" t="s">
        <v>18</v>
      </c>
      <c r="K18" s="3" t="s">
        <v>31</v>
      </c>
      <c r="L18" s="3" t="s">
        <v>20</v>
      </c>
      <c r="M18" s="6" t="s">
        <v>200</v>
      </c>
      <c r="N18" s="6"/>
    </row>
    <row r="19" spans="1:14" ht="27.5" thickBot="1" x14ac:dyDescent="0.3">
      <c r="A19" s="3" t="s">
        <v>14</v>
      </c>
      <c r="B19" s="3" t="s">
        <v>30</v>
      </c>
      <c r="C19" s="4">
        <v>46113</v>
      </c>
      <c r="D19" s="3" t="str">
        <f>"000300257737"</f>
        <v>000300257737</v>
      </c>
      <c r="E19" s="3" t="str">
        <f>"000000000016230469"</f>
        <v>000000000016230469</v>
      </c>
      <c r="F19" s="3" t="s">
        <v>16</v>
      </c>
      <c r="G19" s="3" t="s">
        <v>27</v>
      </c>
      <c r="H19" s="3" t="s">
        <v>22</v>
      </c>
      <c r="I19" s="5">
        <v>46142</v>
      </c>
      <c r="J19" s="3" t="s">
        <v>18</v>
      </c>
      <c r="K19" s="3" t="s">
        <v>39</v>
      </c>
      <c r="L19" s="3" t="s">
        <v>20</v>
      </c>
      <c r="M19" s="6" t="s">
        <v>200</v>
      </c>
      <c r="N19" s="6"/>
    </row>
    <row r="20" spans="1:14" ht="27.5" thickBot="1" x14ac:dyDescent="0.3">
      <c r="A20" s="3" t="s">
        <v>14</v>
      </c>
      <c r="B20" s="3" t="s">
        <v>30</v>
      </c>
      <c r="C20" s="4">
        <v>46143</v>
      </c>
      <c r="D20" s="3" t="str">
        <f>"000300257738"</f>
        <v>000300257738</v>
      </c>
      <c r="E20" s="3" t="str">
        <f>"000000000016230469"</f>
        <v>000000000016230469</v>
      </c>
      <c r="F20" s="3" t="s">
        <v>16</v>
      </c>
      <c r="G20" s="3" t="s">
        <v>27</v>
      </c>
      <c r="H20" s="3" t="s">
        <v>22</v>
      </c>
      <c r="I20" s="5">
        <v>46142</v>
      </c>
      <c r="J20" s="3" t="s">
        <v>18</v>
      </c>
      <c r="K20" s="3" t="s">
        <v>31</v>
      </c>
      <c r="L20" s="3" t="s">
        <v>20</v>
      </c>
      <c r="M20" s="6" t="s">
        <v>200</v>
      </c>
      <c r="N20" s="6"/>
    </row>
    <row r="21" spans="1:14" ht="27.5" thickBot="1" x14ac:dyDescent="0.3">
      <c r="A21" s="3" t="s">
        <v>14</v>
      </c>
      <c r="B21" s="3" t="s">
        <v>30</v>
      </c>
      <c r="C21" s="4">
        <v>46143</v>
      </c>
      <c r="D21" s="3" t="str">
        <f t="shared" ref="D21:D27" si="3">"000300258276"</f>
        <v>000300258276</v>
      </c>
      <c r="E21" s="3" t="str">
        <f t="shared" ref="E21:E27" si="4">"000000000016463951"</f>
        <v>000000000016463951</v>
      </c>
      <c r="F21" s="3" t="s">
        <v>16</v>
      </c>
      <c r="G21" s="3" t="s">
        <v>27</v>
      </c>
      <c r="H21" s="3" t="s">
        <v>17</v>
      </c>
      <c r="I21" s="5">
        <v>46155</v>
      </c>
      <c r="J21" s="3" t="s">
        <v>32</v>
      </c>
      <c r="K21" s="3" t="s">
        <v>40</v>
      </c>
      <c r="L21" s="3" t="s">
        <v>20</v>
      </c>
      <c r="M21" s="6" t="s">
        <v>202</v>
      </c>
      <c r="N21" s="6"/>
    </row>
    <row r="22" spans="1:14" ht="27.5" thickBot="1" x14ac:dyDescent="0.3">
      <c r="A22" s="3" t="s">
        <v>14</v>
      </c>
      <c r="B22" s="3" t="s">
        <v>30</v>
      </c>
      <c r="C22" s="4">
        <v>46143</v>
      </c>
      <c r="D22" s="3" t="str">
        <f t="shared" si="3"/>
        <v>000300258276</v>
      </c>
      <c r="E22" s="3" t="str">
        <f t="shared" si="4"/>
        <v>000000000016463951</v>
      </c>
      <c r="F22" s="3" t="s">
        <v>16</v>
      </c>
      <c r="G22" s="3" t="s">
        <v>27</v>
      </c>
      <c r="H22" s="3" t="s">
        <v>17</v>
      </c>
      <c r="I22" s="5">
        <v>46155</v>
      </c>
      <c r="J22" s="3" t="s">
        <v>41</v>
      </c>
      <c r="K22" s="3" t="s">
        <v>42</v>
      </c>
      <c r="L22" s="3" t="s">
        <v>20</v>
      </c>
      <c r="M22" s="6" t="s">
        <v>204</v>
      </c>
      <c r="N22" s="6"/>
    </row>
    <row r="23" spans="1:14" ht="27.5" thickBot="1" x14ac:dyDescent="0.3">
      <c r="A23" s="3" t="s">
        <v>14</v>
      </c>
      <c r="B23" s="3" t="s">
        <v>30</v>
      </c>
      <c r="C23" s="4">
        <v>46143</v>
      </c>
      <c r="D23" s="3" t="str">
        <f t="shared" si="3"/>
        <v>000300258276</v>
      </c>
      <c r="E23" s="3" t="str">
        <f t="shared" si="4"/>
        <v>000000000016463951</v>
      </c>
      <c r="F23" s="3" t="s">
        <v>16</v>
      </c>
      <c r="G23" s="3" t="s">
        <v>27</v>
      </c>
      <c r="H23" s="3" t="s">
        <v>17</v>
      </c>
      <c r="I23" s="5">
        <v>46155</v>
      </c>
      <c r="J23" s="3" t="s">
        <v>34</v>
      </c>
      <c r="K23" s="3" t="s">
        <v>43</v>
      </c>
      <c r="L23" s="3" t="s">
        <v>20</v>
      </c>
      <c r="M23" s="6" t="s">
        <v>203</v>
      </c>
      <c r="N23" s="6"/>
    </row>
    <row r="24" spans="1:14" ht="27.5" thickBot="1" x14ac:dyDescent="0.3">
      <c r="A24" s="3" t="s">
        <v>14</v>
      </c>
      <c r="B24" s="3" t="s">
        <v>30</v>
      </c>
      <c r="C24" s="4">
        <v>46143</v>
      </c>
      <c r="D24" s="3" t="str">
        <f t="shared" si="3"/>
        <v>000300258276</v>
      </c>
      <c r="E24" s="3" t="str">
        <f t="shared" si="4"/>
        <v>000000000016463951</v>
      </c>
      <c r="F24" s="3" t="s">
        <v>16</v>
      </c>
      <c r="G24" s="3" t="s">
        <v>27</v>
      </c>
      <c r="H24" s="3" t="s">
        <v>17</v>
      </c>
      <c r="I24" s="5">
        <v>46155</v>
      </c>
      <c r="J24" s="3" t="s">
        <v>18</v>
      </c>
      <c r="K24" s="3" t="s">
        <v>44</v>
      </c>
      <c r="L24" s="3" t="s">
        <v>20</v>
      </c>
      <c r="M24" s="6" t="s">
        <v>205</v>
      </c>
      <c r="N24" s="6"/>
    </row>
    <row r="25" spans="1:14" ht="27.5" thickBot="1" x14ac:dyDescent="0.3">
      <c r="A25" s="3" t="s">
        <v>14</v>
      </c>
      <c r="B25" s="3" t="s">
        <v>30</v>
      </c>
      <c r="C25" s="4">
        <v>46143</v>
      </c>
      <c r="D25" s="3" t="str">
        <f t="shared" si="3"/>
        <v>000300258276</v>
      </c>
      <c r="E25" s="3" t="str">
        <f t="shared" si="4"/>
        <v>000000000016463951</v>
      </c>
      <c r="F25" s="3" t="s">
        <v>16</v>
      </c>
      <c r="G25" s="3" t="s">
        <v>27</v>
      </c>
      <c r="H25" s="3" t="s">
        <v>17</v>
      </c>
      <c r="I25" s="5">
        <v>46155</v>
      </c>
      <c r="J25" s="3" t="s">
        <v>18</v>
      </c>
      <c r="K25" s="3" t="s">
        <v>45</v>
      </c>
      <c r="L25" s="3" t="s">
        <v>20</v>
      </c>
      <c r="M25" s="6" t="s">
        <v>204</v>
      </c>
      <c r="N25" s="6"/>
    </row>
    <row r="26" spans="1:14" ht="27.5" thickBot="1" x14ac:dyDescent="0.3">
      <c r="A26" s="3" t="s">
        <v>14</v>
      </c>
      <c r="B26" s="3" t="s">
        <v>30</v>
      </c>
      <c r="C26" s="4">
        <v>46143</v>
      </c>
      <c r="D26" s="3" t="str">
        <f t="shared" si="3"/>
        <v>000300258276</v>
      </c>
      <c r="E26" s="3" t="str">
        <f t="shared" si="4"/>
        <v>000000000016463951</v>
      </c>
      <c r="F26" s="3" t="s">
        <v>16</v>
      </c>
      <c r="G26" s="3" t="s">
        <v>27</v>
      </c>
      <c r="H26" s="3" t="s">
        <v>17</v>
      </c>
      <c r="I26" s="5">
        <v>46155</v>
      </c>
      <c r="J26" s="3" t="s">
        <v>18</v>
      </c>
      <c r="K26" s="3" t="s">
        <v>46</v>
      </c>
      <c r="L26" s="3" t="s">
        <v>20</v>
      </c>
      <c r="M26" s="6" t="s">
        <v>204</v>
      </c>
      <c r="N26" s="6"/>
    </row>
    <row r="27" spans="1:14" ht="27.5" thickBot="1" x14ac:dyDescent="0.3">
      <c r="A27" s="3" t="s">
        <v>14</v>
      </c>
      <c r="B27" s="3" t="s">
        <v>30</v>
      </c>
      <c r="C27" s="4">
        <v>46143</v>
      </c>
      <c r="D27" s="3" t="str">
        <f t="shared" si="3"/>
        <v>000300258276</v>
      </c>
      <c r="E27" s="3" t="str">
        <f t="shared" si="4"/>
        <v>000000000016463951</v>
      </c>
      <c r="F27" s="3" t="s">
        <v>16</v>
      </c>
      <c r="G27" s="3" t="s">
        <v>27</v>
      </c>
      <c r="H27" s="3" t="s">
        <v>17</v>
      </c>
      <c r="I27" s="5">
        <v>46155</v>
      </c>
      <c r="J27" s="3" t="s">
        <v>18</v>
      </c>
      <c r="K27" s="3" t="s">
        <v>47</v>
      </c>
      <c r="L27" s="3" t="s">
        <v>20</v>
      </c>
      <c r="M27" s="6" t="s">
        <v>204</v>
      </c>
      <c r="N27" s="6"/>
    </row>
    <row r="28" spans="1:14" ht="27.5" thickBot="1" x14ac:dyDescent="0.3">
      <c r="A28" s="3" t="s">
        <v>14</v>
      </c>
      <c r="B28" s="3" t="s">
        <v>30</v>
      </c>
      <c r="C28" s="4">
        <v>46174</v>
      </c>
      <c r="D28" s="3" t="str">
        <f>"000300260895"</f>
        <v>000300260895</v>
      </c>
      <c r="E28" s="3" t="str">
        <f>"000000000016465768"</f>
        <v>000000000016465768</v>
      </c>
      <c r="F28" s="3" t="s">
        <v>16</v>
      </c>
      <c r="G28" s="3" t="s">
        <v>27</v>
      </c>
      <c r="H28" s="3" t="s">
        <v>17</v>
      </c>
      <c r="I28" s="5">
        <v>46168</v>
      </c>
      <c r="J28" s="3" t="s">
        <v>18</v>
      </c>
      <c r="K28" s="3" t="s">
        <v>48</v>
      </c>
      <c r="L28" s="3" t="s">
        <v>20</v>
      </c>
      <c r="M28" s="6" t="s">
        <v>202</v>
      </c>
      <c r="N28" s="6"/>
    </row>
    <row r="29" spans="1:14" ht="27.5" thickBot="1" x14ac:dyDescent="0.3">
      <c r="A29" s="3" t="s">
        <v>14</v>
      </c>
      <c r="B29" s="3" t="s">
        <v>30</v>
      </c>
      <c r="C29" s="4">
        <v>46174</v>
      </c>
      <c r="D29" s="3" t="str">
        <f>"000300260895"</f>
        <v>000300260895</v>
      </c>
      <c r="E29" s="3" t="str">
        <f>"000000000016465768"</f>
        <v>000000000016465768</v>
      </c>
      <c r="F29" s="3" t="s">
        <v>16</v>
      </c>
      <c r="G29" s="3" t="s">
        <v>27</v>
      </c>
      <c r="H29" s="3" t="s">
        <v>17</v>
      </c>
      <c r="I29" s="5">
        <v>46168</v>
      </c>
      <c r="J29" s="3" t="s">
        <v>34</v>
      </c>
      <c r="K29" s="3" t="s">
        <v>49</v>
      </c>
      <c r="L29" s="3" t="s">
        <v>20</v>
      </c>
      <c r="M29" s="6" t="s">
        <v>202</v>
      </c>
      <c r="N29" s="6"/>
    </row>
    <row r="30" spans="1:14" ht="27.5" thickBot="1" x14ac:dyDescent="0.3">
      <c r="A30" s="3" t="s">
        <v>14</v>
      </c>
      <c r="B30" s="3" t="s">
        <v>30</v>
      </c>
      <c r="C30" s="4">
        <v>46174</v>
      </c>
      <c r="D30" s="3" t="str">
        <f>"000300260895"</f>
        <v>000300260895</v>
      </c>
      <c r="E30" s="3" t="str">
        <f>"000000000016465768"</f>
        <v>000000000016465768</v>
      </c>
      <c r="F30" s="3" t="s">
        <v>16</v>
      </c>
      <c r="G30" s="3" t="s">
        <v>27</v>
      </c>
      <c r="H30" s="3" t="s">
        <v>17</v>
      </c>
      <c r="I30" s="5">
        <v>46168</v>
      </c>
      <c r="J30" s="3" t="s">
        <v>18</v>
      </c>
      <c r="K30" s="3" t="s">
        <v>50</v>
      </c>
      <c r="L30" s="3" t="s">
        <v>20</v>
      </c>
      <c r="M30" s="6" t="s">
        <v>202</v>
      </c>
      <c r="N30" s="6"/>
    </row>
    <row r="31" spans="1:14" ht="27.5" thickBot="1" x14ac:dyDescent="0.3">
      <c r="A31" s="3" t="s">
        <v>14</v>
      </c>
      <c r="B31" s="3" t="s">
        <v>30</v>
      </c>
      <c r="C31" s="4">
        <v>46174</v>
      </c>
      <c r="D31" s="3" t="str">
        <f t="shared" ref="D31:D38" si="5">"000300261581"</f>
        <v>000300261581</v>
      </c>
      <c r="E31" s="3" t="str">
        <f t="shared" ref="E31:E38" si="6">"000000000016229223"</f>
        <v>000000000016229223</v>
      </c>
      <c r="F31" s="3" t="s">
        <v>16</v>
      </c>
      <c r="G31" s="3" t="s">
        <v>27</v>
      </c>
      <c r="H31" s="3" t="s">
        <v>17</v>
      </c>
      <c r="I31" s="5">
        <v>46162</v>
      </c>
      <c r="J31" s="3" t="s">
        <v>51</v>
      </c>
      <c r="K31" s="3" t="s">
        <v>52</v>
      </c>
      <c r="L31" s="3" t="s">
        <v>20</v>
      </c>
      <c r="M31" s="6" t="s">
        <v>203</v>
      </c>
      <c r="N31" s="6"/>
    </row>
    <row r="32" spans="1:14" ht="27.5" thickBot="1" x14ac:dyDescent="0.3">
      <c r="A32" s="3" t="s">
        <v>14</v>
      </c>
      <c r="B32" s="3" t="s">
        <v>30</v>
      </c>
      <c r="C32" s="4">
        <v>46174</v>
      </c>
      <c r="D32" s="3" t="str">
        <f t="shared" si="5"/>
        <v>000300261581</v>
      </c>
      <c r="E32" s="3" t="str">
        <f t="shared" si="6"/>
        <v>000000000016229223</v>
      </c>
      <c r="F32" s="3" t="s">
        <v>16</v>
      </c>
      <c r="G32" s="3" t="s">
        <v>27</v>
      </c>
      <c r="H32" s="3" t="s">
        <v>17</v>
      </c>
      <c r="I32" s="5">
        <v>46162</v>
      </c>
      <c r="J32" s="3" t="s">
        <v>18</v>
      </c>
      <c r="K32" s="3" t="s">
        <v>53</v>
      </c>
      <c r="L32" s="3" t="s">
        <v>20</v>
      </c>
      <c r="M32" s="6" t="s">
        <v>204</v>
      </c>
      <c r="N32" s="6"/>
    </row>
    <row r="33" spans="1:14" ht="27.5" thickBot="1" x14ac:dyDescent="0.3">
      <c r="A33" s="3" t="s">
        <v>14</v>
      </c>
      <c r="B33" s="3" t="s">
        <v>30</v>
      </c>
      <c r="C33" s="4">
        <v>46174</v>
      </c>
      <c r="D33" s="3" t="str">
        <f t="shared" si="5"/>
        <v>000300261581</v>
      </c>
      <c r="E33" s="3" t="str">
        <f t="shared" si="6"/>
        <v>000000000016229223</v>
      </c>
      <c r="F33" s="3" t="s">
        <v>16</v>
      </c>
      <c r="G33" s="3" t="s">
        <v>27</v>
      </c>
      <c r="H33" s="3" t="s">
        <v>17</v>
      </c>
      <c r="I33" s="5">
        <v>46162</v>
      </c>
      <c r="J33" s="3" t="s">
        <v>18</v>
      </c>
      <c r="K33" s="3" t="s">
        <v>54</v>
      </c>
      <c r="L33" s="3" t="s">
        <v>20</v>
      </c>
      <c r="M33" s="6" t="s">
        <v>204</v>
      </c>
      <c r="N33" s="6"/>
    </row>
    <row r="34" spans="1:14" ht="27.5" thickBot="1" x14ac:dyDescent="0.3">
      <c r="A34" s="3" t="s">
        <v>14</v>
      </c>
      <c r="B34" s="3" t="s">
        <v>30</v>
      </c>
      <c r="C34" s="4">
        <v>46174</v>
      </c>
      <c r="D34" s="3" t="str">
        <f t="shared" si="5"/>
        <v>000300261581</v>
      </c>
      <c r="E34" s="3" t="str">
        <f t="shared" si="6"/>
        <v>000000000016229223</v>
      </c>
      <c r="F34" s="3" t="s">
        <v>16</v>
      </c>
      <c r="G34" s="3" t="s">
        <v>27</v>
      </c>
      <c r="H34" s="3" t="s">
        <v>17</v>
      </c>
      <c r="I34" s="5">
        <v>46162</v>
      </c>
      <c r="J34" s="3" t="s">
        <v>41</v>
      </c>
      <c r="K34" s="3" t="s">
        <v>55</v>
      </c>
      <c r="L34" s="3" t="s">
        <v>20</v>
      </c>
      <c r="M34" s="6" t="s">
        <v>204</v>
      </c>
      <c r="N34" s="6"/>
    </row>
    <row r="35" spans="1:14" ht="27.5" thickBot="1" x14ac:dyDescent="0.3">
      <c r="A35" s="3" t="s">
        <v>14</v>
      </c>
      <c r="B35" s="3" t="s">
        <v>30</v>
      </c>
      <c r="C35" s="4">
        <v>46174</v>
      </c>
      <c r="D35" s="3" t="str">
        <f t="shared" si="5"/>
        <v>000300261581</v>
      </c>
      <c r="E35" s="3" t="str">
        <f t="shared" si="6"/>
        <v>000000000016229223</v>
      </c>
      <c r="F35" s="3" t="s">
        <v>16</v>
      </c>
      <c r="G35" s="3" t="s">
        <v>27</v>
      </c>
      <c r="H35" s="3" t="s">
        <v>17</v>
      </c>
      <c r="I35" s="5">
        <v>46162</v>
      </c>
      <c r="J35" s="3" t="s">
        <v>56</v>
      </c>
      <c r="K35" s="3" t="s">
        <v>57</v>
      </c>
      <c r="L35" s="3" t="s">
        <v>20</v>
      </c>
      <c r="M35" s="6" t="s">
        <v>205</v>
      </c>
      <c r="N35" s="6"/>
    </row>
    <row r="36" spans="1:14" ht="27.5" thickBot="1" x14ac:dyDescent="0.3">
      <c r="A36" s="3" t="s">
        <v>14</v>
      </c>
      <c r="B36" s="3" t="s">
        <v>30</v>
      </c>
      <c r="C36" s="4">
        <v>46174</v>
      </c>
      <c r="D36" s="3" t="str">
        <f t="shared" si="5"/>
        <v>000300261581</v>
      </c>
      <c r="E36" s="3" t="str">
        <f t="shared" si="6"/>
        <v>000000000016229223</v>
      </c>
      <c r="F36" s="3" t="s">
        <v>16</v>
      </c>
      <c r="G36" s="3" t="s">
        <v>27</v>
      </c>
      <c r="H36" s="3" t="s">
        <v>17</v>
      </c>
      <c r="I36" s="5">
        <v>46162</v>
      </c>
      <c r="J36" s="3" t="s">
        <v>34</v>
      </c>
      <c r="K36" s="3" t="s">
        <v>58</v>
      </c>
      <c r="L36" s="3" t="s">
        <v>20</v>
      </c>
      <c r="M36" s="6" t="s">
        <v>202</v>
      </c>
      <c r="N36" s="6"/>
    </row>
    <row r="37" spans="1:14" ht="27.5" thickBot="1" x14ac:dyDescent="0.3">
      <c r="A37" s="3" t="s">
        <v>14</v>
      </c>
      <c r="B37" s="3" t="s">
        <v>30</v>
      </c>
      <c r="C37" s="4">
        <v>46174</v>
      </c>
      <c r="D37" s="3" t="str">
        <f t="shared" si="5"/>
        <v>000300261581</v>
      </c>
      <c r="E37" s="3" t="str">
        <f t="shared" si="6"/>
        <v>000000000016229223</v>
      </c>
      <c r="F37" s="3" t="s">
        <v>16</v>
      </c>
      <c r="G37" s="3" t="s">
        <v>27</v>
      </c>
      <c r="H37" s="3" t="s">
        <v>17</v>
      </c>
      <c r="I37" s="5">
        <v>46162</v>
      </c>
      <c r="J37" s="3" t="s">
        <v>18</v>
      </c>
      <c r="K37" s="3" t="s">
        <v>59</v>
      </c>
      <c r="L37" s="3" t="s">
        <v>20</v>
      </c>
      <c r="M37" s="6" t="s">
        <v>204</v>
      </c>
      <c r="N37" s="6"/>
    </row>
    <row r="38" spans="1:14" ht="27.5" thickBot="1" x14ac:dyDescent="0.3">
      <c r="A38" s="3" t="s">
        <v>14</v>
      </c>
      <c r="B38" s="3" t="s">
        <v>30</v>
      </c>
      <c r="C38" s="4">
        <v>46174</v>
      </c>
      <c r="D38" s="3" t="str">
        <f t="shared" si="5"/>
        <v>000300261581</v>
      </c>
      <c r="E38" s="3" t="str">
        <f t="shared" si="6"/>
        <v>000000000016229223</v>
      </c>
      <c r="F38" s="3" t="s">
        <v>16</v>
      </c>
      <c r="G38" s="3" t="s">
        <v>27</v>
      </c>
      <c r="H38" s="3" t="s">
        <v>17</v>
      </c>
      <c r="I38" s="5">
        <v>46162</v>
      </c>
      <c r="J38" s="3" t="s">
        <v>32</v>
      </c>
      <c r="K38" s="3" t="s">
        <v>60</v>
      </c>
      <c r="L38" s="3" t="s">
        <v>20</v>
      </c>
      <c r="M38" s="6" t="s">
        <v>202</v>
      </c>
      <c r="N38" s="6"/>
    </row>
    <row r="39" spans="1:14" ht="27.5" thickBot="1" x14ac:dyDescent="0.3">
      <c r="A39" s="3" t="s">
        <v>14</v>
      </c>
      <c r="B39" s="3" t="s">
        <v>30</v>
      </c>
      <c r="C39" s="4">
        <v>46204</v>
      </c>
      <c r="D39" s="3" t="str">
        <f>"000300262150"</f>
        <v>000300262150</v>
      </c>
      <c r="E39" s="3" t="str">
        <f>"000000000016318404"</f>
        <v>000000000016318404</v>
      </c>
      <c r="F39" s="3" t="s">
        <v>16</v>
      </c>
      <c r="G39" s="3" t="s">
        <v>27</v>
      </c>
      <c r="H39" s="3" t="s">
        <v>25</v>
      </c>
      <c r="I39" s="5">
        <v>46204</v>
      </c>
      <c r="J39" s="3" t="s">
        <v>18</v>
      </c>
      <c r="K39" s="3" t="s">
        <v>61</v>
      </c>
      <c r="L39" s="3" t="s">
        <v>20</v>
      </c>
      <c r="M39" s="6" t="s">
        <v>204</v>
      </c>
      <c r="N39" s="6"/>
    </row>
    <row r="40" spans="1:14" ht="27.5" thickBot="1" x14ac:dyDescent="0.3">
      <c r="A40" s="3" t="s">
        <v>14</v>
      </c>
      <c r="B40" s="3" t="s">
        <v>30</v>
      </c>
      <c r="C40" s="4">
        <v>46204</v>
      </c>
      <c r="D40" s="3" t="str">
        <f>"000300262150"</f>
        <v>000300262150</v>
      </c>
      <c r="E40" s="3" t="str">
        <f>"000000000016318404"</f>
        <v>000000000016318404</v>
      </c>
      <c r="F40" s="3" t="s">
        <v>16</v>
      </c>
      <c r="G40" s="3" t="s">
        <v>27</v>
      </c>
      <c r="H40" s="3" t="s">
        <v>25</v>
      </c>
      <c r="I40" s="5">
        <v>46204</v>
      </c>
      <c r="J40" s="3" t="s">
        <v>18</v>
      </c>
      <c r="K40" s="3" t="s">
        <v>62</v>
      </c>
      <c r="L40" s="3" t="s">
        <v>20</v>
      </c>
      <c r="M40" s="6" t="s">
        <v>202</v>
      </c>
      <c r="N40" s="6"/>
    </row>
    <row r="41" spans="1:14" ht="27.5" thickBot="1" x14ac:dyDescent="0.3">
      <c r="A41" s="3" t="s">
        <v>14</v>
      </c>
      <c r="B41" s="3" t="s">
        <v>30</v>
      </c>
      <c r="C41" s="4">
        <v>46204</v>
      </c>
      <c r="D41" s="3" t="str">
        <f>"000300262150"</f>
        <v>000300262150</v>
      </c>
      <c r="E41" s="3" t="str">
        <f>"000000000016318404"</f>
        <v>000000000016318404</v>
      </c>
      <c r="F41" s="3" t="s">
        <v>16</v>
      </c>
      <c r="G41" s="3" t="s">
        <v>27</v>
      </c>
      <c r="H41" s="3" t="s">
        <v>25</v>
      </c>
      <c r="I41" s="5">
        <v>46204</v>
      </c>
      <c r="J41" s="3" t="s">
        <v>18</v>
      </c>
      <c r="K41" s="3" t="s">
        <v>63</v>
      </c>
      <c r="L41" s="3" t="s">
        <v>20</v>
      </c>
      <c r="M41" s="6" t="s">
        <v>202</v>
      </c>
      <c r="N41" s="6"/>
    </row>
    <row r="42" spans="1:14" ht="68" thickBot="1" x14ac:dyDescent="0.3">
      <c r="A42" s="3" t="s">
        <v>14</v>
      </c>
      <c r="B42" s="3" t="s">
        <v>30</v>
      </c>
      <c r="C42" s="4">
        <v>46204</v>
      </c>
      <c r="D42" s="3" t="str">
        <f>"000300262458"</f>
        <v>000300262458</v>
      </c>
      <c r="E42" s="3" t="str">
        <f>"000000000016243668"</f>
        <v>000000000016243668</v>
      </c>
      <c r="F42" s="3" t="s">
        <v>16</v>
      </c>
      <c r="G42" s="3" t="s">
        <v>27</v>
      </c>
      <c r="H42" s="3" t="s">
        <v>25</v>
      </c>
      <c r="I42" s="5">
        <v>46176</v>
      </c>
      <c r="J42" s="3" t="s">
        <v>28</v>
      </c>
      <c r="K42" s="3" t="s">
        <v>64</v>
      </c>
      <c r="L42" s="3" t="s">
        <v>20</v>
      </c>
      <c r="M42" s="6" t="s">
        <v>201</v>
      </c>
      <c r="N42" s="6"/>
    </row>
    <row r="43" spans="1:14" ht="27.5" thickBot="1" x14ac:dyDescent="0.3">
      <c r="A43" s="3" t="s">
        <v>14</v>
      </c>
      <c r="B43" s="3" t="s">
        <v>30</v>
      </c>
      <c r="C43" s="4">
        <v>46174</v>
      </c>
      <c r="D43" s="3" t="str">
        <f t="shared" ref="D43:D48" si="7">"000300263968"</f>
        <v>000300263968</v>
      </c>
      <c r="E43" s="3" t="str">
        <f t="shared" ref="E43:E48" si="8">"000000000016289870"</f>
        <v>000000000016289870</v>
      </c>
      <c r="F43" s="3" t="s">
        <v>16</v>
      </c>
      <c r="G43" s="3" t="s">
        <v>27</v>
      </c>
      <c r="H43" s="3" t="s">
        <v>17</v>
      </c>
      <c r="I43" s="5">
        <v>46182</v>
      </c>
      <c r="J43" s="3" t="s">
        <v>18</v>
      </c>
      <c r="K43" s="3" t="s">
        <v>65</v>
      </c>
      <c r="L43" s="3" t="s">
        <v>20</v>
      </c>
      <c r="M43" s="6" t="s">
        <v>205</v>
      </c>
      <c r="N43" s="6"/>
    </row>
    <row r="44" spans="1:14" ht="27.5" thickBot="1" x14ac:dyDescent="0.3">
      <c r="A44" s="3" t="s">
        <v>14</v>
      </c>
      <c r="B44" s="3" t="s">
        <v>30</v>
      </c>
      <c r="C44" s="4">
        <v>46174</v>
      </c>
      <c r="D44" s="3" t="str">
        <f t="shared" si="7"/>
        <v>000300263968</v>
      </c>
      <c r="E44" s="3" t="str">
        <f t="shared" si="8"/>
        <v>000000000016289870</v>
      </c>
      <c r="F44" s="3" t="s">
        <v>16</v>
      </c>
      <c r="G44" s="3" t="s">
        <v>27</v>
      </c>
      <c r="H44" s="3" t="s">
        <v>17</v>
      </c>
      <c r="I44" s="5">
        <v>46182</v>
      </c>
      <c r="J44" s="3" t="s">
        <v>41</v>
      </c>
      <c r="K44" s="3" t="s">
        <v>66</v>
      </c>
      <c r="L44" s="3" t="s">
        <v>20</v>
      </c>
      <c r="M44" s="6" t="s">
        <v>203</v>
      </c>
      <c r="N44" s="6"/>
    </row>
    <row r="45" spans="1:14" ht="27.5" thickBot="1" x14ac:dyDescent="0.3">
      <c r="A45" s="3" t="s">
        <v>14</v>
      </c>
      <c r="B45" s="3" t="s">
        <v>30</v>
      </c>
      <c r="C45" s="4">
        <v>46174</v>
      </c>
      <c r="D45" s="3" t="str">
        <f t="shared" si="7"/>
        <v>000300263968</v>
      </c>
      <c r="E45" s="3" t="str">
        <f t="shared" si="8"/>
        <v>000000000016289870</v>
      </c>
      <c r="F45" s="3" t="s">
        <v>16</v>
      </c>
      <c r="G45" s="3" t="s">
        <v>27</v>
      </c>
      <c r="H45" s="3" t="s">
        <v>17</v>
      </c>
      <c r="I45" s="5">
        <v>46182</v>
      </c>
      <c r="J45" s="3" t="s">
        <v>34</v>
      </c>
      <c r="K45" s="3" t="s">
        <v>67</v>
      </c>
      <c r="L45" s="3" t="s">
        <v>20</v>
      </c>
      <c r="M45" s="6" t="s">
        <v>204</v>
      </c>
      <c r="N45" s="6"/>
    </row>
    <row r="46" spans="1:14" ht="27.5" thickBot="1" x14ac:dyDescent="0.3">
      <c r="A46" s="3" t="s">
        <v>14</v>
      </c>
      <c r="B46" s="3" t="s">
        <v>30</v>
      </c>
      <c r="C46" s="4">
        <v>46174</v>
      </c>
      <c r="D46" s="3" t="str">
        <f t="shared" si="7"/>
        <v>000300263968</v>
      </c>
      <c r="E46" s="3" t="str">
        <f t="shared" si="8"/>
        <v>000000000016289870</v>
      </c>
      <c r="F46" s="3" t="s">
        <v>16</v>
      </c>
      <c r="G46" s="3" t="s">
        <v>27</v>
      </c>
      <c r="H46" s="3" t="s">
        <v>17</v>
      </c>
      <c r="I46" s="5">
        <v>46182</v>
      </c>
      <c r="J46" s="3" t="s">
        <v>32</v>
      </c>
      <c r="K46" s="3" t="s">
        <v>68</v>
      </c>
      <c r="L46" s="3" t="s">
        <v>20</v>
      </c>
      <c r="M46" s="6" t="s">
        <v>202</v>
      </c>
      <c r="N46" s="6"/>
    </row>
    <row r="47" spans="1:14" ht="27.5" thickBot="1" x14ac:dyDescent="0.3">
      <c r="A47" s="3" t="s">
        <v>14</v>
      </c>
      <c r="B47" s="3" t="s">
        <v>30</v>
      </c>
      <c r="C47" s="4">
        <v>46174</v>
      </c>
      <c r="D47" s="3" t="str">
        <f t="shared" si="7"/>
        <v>000300263968</v>
      </c>
      <c r="E47" s="3" t="str">
        <f t="shared" si="8"/>
        <v>000000000016289870</v>
      </c>
      <c r="F47" s="3" t="s">
        <v>16</v>
      </c>
      <c r="G47" s="3" t="s">
        <v>27</v>
      </c>
      <c r="H47" s="3" t="s">
        <v>17</v>
      </c>
      <c r="I47" s="5">
        <v>46182</v>
      </c>
      <c r="J47" s="3" t="s">
        <v>18</v>
      </c>
      <c r="K47" s="3" t="s">
        <v>69</v>
      </c>
      <c r="L47" s="3" t="s">
        <v>20</v>
      </c>
      <c r="M47" s="6" t="s">
        <v>204</v>
      </c>
      <c r="N47" s="6"/>
    </row>
    <row r="48" spans="1:14" ht="27.5" thickBot="1" x14ac:dyDescent="0.3">
      <c r="A48" s="3" t="s">
        <v>14</v>
      </c>
      <c r="B48" s="3" t="s">
        <v>30</v>
      </c>
      <c r="C48" s="4">
        <v>46174</v>
      </c>
      <c r="D48" s="3" t="str">
        <f t="shared" si="7"/>
        <v>000300263968</v>
      </c>
      <c r="E48" s="3" t="str">
        <f t="shared" si="8"/>
        <v>000000000016289870</v>
      </c>
      <c r="F48" s="3" t="s">
        <v>16</v>
      </c>
      <c r="G48" s="3" t="s">
        <v>27</v>
      </c>
      <c r="H48" s="3" t="s">
        <v>17</v>
      </c>
      <c r="I48" s="5">
        <v>46182</v>
      </c>
      <c r="J48" s="3" t="s">
        <v>18</v>
      </c>
      <c r="K48" s="3" t="s">
        <v>70</v>
      </c>
      <c r="L48" s="3" t="s">
        <v>20</v>
      </c>
      <c r="M48" s="6" t="s">
        <v>202</v>
      </c>
      <c r="N48" s="6"/>
    </row>
    <row r="49" spans="1:14" ht="27.5" thickBot="1" x14ac:dyDescent="0.3">
      <c r="A49" s="3" t="s">
        <v>14</v>
      </c>
      <c r="B49" s="3" t="s">
        <v>30</v>
      </c>
      <c r="C49" s="4">
        <v>46174</v>
      </c>
      <c r="D49" s="3" t="str">
        <f>"000300264562"</f>
        <v>000300264562</v>
      </c>
      <c r="E49" s="3" t="str">
        <f>"000000000016477588"</f>
        <v>000000000016477588</v>
      </c>
      <c r="F49" s="3" t="s">
        <v>16</v>
      </c>
      <c r="G49" s="3" t="s">
        <v>27</v>
      </c>
      <c r="H49" s="3" t="s">
        <v>22</v>
      </c>
      <c r="I49" s="5">
        <v>46181</v>
      </c>
      <c r="J49" s="3" t="s">
        <v>71</v>
      </c>
      <c r="K49" s="3" t="s">
        <v>72</v>
      </c>
      <c r="L49" s="3" t="s">
        <v>20</v>
      </c>
      <c r="M49" s="6" t="s">
        <v>201</v>
      </c>
      <c r="N49" s="6"/>
    </row>
    <row r="50" spans="1:14" ht="27.5" thickBot="1" x14ac:dyDescent="0.3">
      <c r="A50" s="3" t="s">
        <v>14</v>
      </c>
      <c r="B50" s="3" t="s">
        <v>30</v>
      </c>
      <c r="C50" s="4">
        <v>46204</v>
      </c>
      <c r="D50" s="3" t="str">
        <f>"000300267380"</f>
        <v>000300267380</v>
      </c>
      <c r="E50" s="3" t="str">
        <f>"000000000016243153"</f>
        <v>000000000016243153</v>
      </c>
      <c r="F50" s="3" t="s">
        <v>16</v>
      </c>
      <c r="G50" s="3" t="s">
        <v>27</v>
      </c>
      <c r="H50" s="3" t="s">
        <v>17</v>
      </c>
      <c r="I50" s="5">
        <v>46204</v>
      </c>
      <c r="J50" s="3" t="s">
        <v>32</v>
      </c>
      <c r="K50" s="3" t="s">
        <v>73</v>
      </c>
      <c r="L50" s="3" t="s">
        <v>20</v>
      </c>
      <c r="M50" s="6" t="s">
        <v>202</v>
      </c>
      <c r="N50" s="6"/>
    </row>
    <row r="51" spans="1:14" ht="27.5" thickBot="1" x14ac:dyDescent="0.3">
      <c r="A51" s="3" t="s">
        <v>14</v>
      </c>
      <c r="B51" s="3" t="s">
        <v>30</v>
      </c>
      <c r="C51" s="4">
        <v>46204</v>
      </c>
      <c r="D51" s="3" t="str">
        <f>"000300267380"</f>
        <v>000300267380</v>
      </c>
      <c r="E51" s="3" t="str">
        <f>"000000000016243153"</f>
        <v>000000000016243153</v>
      </c>
      <c r="F51" s="3" t="s">
        <v>16</v>
      </c>
      <c r="G51" s="3" t="s">
        <v>27</v>
      </c>
      <c r="H51" s="3" t="s">
        <v>17</v>
      </c>
      <c r="I51" s="5">
        <v>46204</v>
      </c>
      <c r="J51" s="3" t="s">
        <v>18</v>
      </c>
      <c r="K51" s="3" t="s">
        <v>74</v>
      </c>
      <c r="L51" s="3" t="s">
        <v>20</v>
      </c>
      <c r="M51" s="6" t="s">
        <v>202</v>
      </c>
      <c r="N51" s="6"/>
    </row>
    <row r="52" spans="1:14" ht="27.5" thickBot="1" x14ac:dyDescent="0.3">
      <c r="A52" s="3" t="s">
        <v>14</v>
      </c>
      <c r="B52" s="3" t="s">
        <v>30</v>
      </c>
      <c r="C52" s="4">
        <v>46204</v>
      </c>
      <c r="D52" s="3" t="str">
        <f>"000300271872"</f>
        <v>000300271872</v>
      </c>
      <c r="E52" s="3" t="str">
        <f>"000000000016222954"</f>
        <v>000000000016222954</v>
      </c>
      <c r="F52" s="3" t="s">
        <v>16</v>
      </c>
      <c r="G52" s="3" t="s">
        <v>27</v>
      </c>
      <c r="H52" s="3" t="s">
        <v>25</v>
      </c>
      <c r="I52" s="5">
        <v>46204</v>
      </c>
      <c r="J52" s="3" t="s">
        <v>41</v>
      </c>
      <c r="K52" s="3" t="s">
        <v>75</v>
      </c>
      <c r="L52" s="3" t="s">
        <v>20</v>
      </c>
      <c r="M52" s="6" t="s">
        <v>202</v>
      </c>
      <c r="N52" s="6"/>
    </row>
    <row r="53" spans="1:14" ht="27.5" thickBot="1" x14ac:dyDescent="0.3">
      <c r="A53" s="3" t="s">
        <v>14</v>
      </c>
      <c r="B53" s="3" t="s">
        <v>30</v>
      </c>
      <c r="C53" s="4">
        <v>46204</v>
      </c>
      <c r="D53" s="3" t="str">
        <f>"000300271872"</f>
        <v>000300271872</v>
      </c>
      <c r="E53" s="3" t="str">
        <f>"000000000016222954"</f>
        <v>000000000016222954</v>
      </c>
      <c r="F53" s="3" t="s">
        <v>16</v>
      </c>
      <c r="G53" s="3" t="s">
        <v>27</v>
      </c>
      <c r="H53" s="3" t="s">
        <v>25</v>
      </c>
      <c r="I53" s="5">
        <v>46204</v>
      </c>
      <c r="J53" s="3" t="s">
        <v>34</v>
      </c>
      <c r="K53" s="3" t="s">
        <v>76</v>
      </c>
      <c r="L53" s="3" t="s">
        <v>20</v>
      </c>
      <c r="M53" s="6" t="s">
        <v>202</v>
      </c>
      <c r="N53" s="6"/>
    </row>
    <row r="54" spans="1:14" ht="27.5" thickBot="1" x14ac:dyDescent="0.3">
      <c r="A54" s="3" t="s">
        <v>14</v>
      </c>
      <c r="B54" s="3" t="s">
        <v>30</v>
      </c>
      <c r="C54" s="4">
        <v>46204</v>
      </c>
      <c r="D54" s="3" t="str">
        <f>"000300272455"</f>
        <v>000300272455</v>
      </c>
      <c r="E54" s="3" t="str">
        <f>"000000000016222326"</f>
        <v>000000000016222326</v>
      </c>
      <c r="F54" s="3" t="s">
        <v>16</v>
      </c>
      <c r="G54" s="3" t="s">
        <v>27</v>
      </c>
      <c r="H54" s="3" t="s">
        <v>25</v>
      </c>
      <c r="I54" s="5">
        <v>46203</v>
      </c>
      <c r="J54" s="3" t="s">
        <v>18</v>
      </c>
      <c r="K54" s="3" t="s">
        <v>77</v>
      </c>
      <c r="L54" s="3" t="s">
        <v>20</v>
      </c>
      <c r="M54" s="6" t="s">
        <v>202</v>
      </c>
      <c r="N54" s="6"/>
    </row>
    <row r="55" spans="1:14" ht="27.5" thickBot="1" x14ac:dyDescent="0.3">
      <c r="A55" s="3" t="s">
        <v>14</v>
      </c>
      <c r="B55" s="3" t="s">
        <v>30</v>
      </c>
      <c r="C55" s="4">
        <v>46204</v>
      </c>
      <c r="D55" s="3" t="str">
        <f>"000300272455"</f>
        <v>000300272455</v>
      </c>
      <c r="E55" s="3" t="str">
        <f>"000000000016222326"</f>
        <v>000000000016222326</v>
      </c>
      <c r="F55" s="3" t="s">
        <v>16</v>
      </c>
      <c r="G55" s="3" t="s">
        <v>27</v>
      </c>
      <c r="H55" s="3" t="s">
        <v>25</v>
      </c>
      <c r="I55" s="5">
        <v>46203</v>
      </c>
      <c r="J55" s="3" t="s">
        <v>56</v>
      </c>
      <c r="K55" s="3" t="s">
        <v>78</v>
      </c>
      <c r="L55" s="3" t="s">
        <v>20</v>
      </c>
      <c r="M55" s="6" t="s">
        <v>205</v>
      </c>
      <c r="N55" s="6"/>
    </row>
    <row r="56" spans="1:14" ht="27.5" thickBot="1" x14ac:dyDescent="0.3">
      <c r="A56" s="3" t="s">
        <v>14</v>
      </c>
      <c r="B56" s="3" t="s">
        <v>30</v>
      </c>
      <c r="C56" s="4">
        <v>46204</v>
      </c>
      <c r="D56" s="3" t="str">
        <f>"000300272455"</f>
        <v>000300272455</v>
      </c>
      <c r="E56" s="3" t="str">
        <f>"000000000016222326"</f>
        <v>000000000016222326</v>
      </c>
      <c r="F56" s="3" t="s">
        <v>16</v>
      </c>
      <c r="G56" s="3" t="s">
        <v>27</v>
      </c>
      <c r="H56" s="3" t="s">
        <v>25</v>
      </c>
      <c r="I56" s="5">
        <v>46203</v>
      </c>
      <c r="J56" s="3" t="s">
        <v>18</v>
      </c>
      <c r="K56" s="3" t="s">
        <v>79</v>
      </c>
      <c r="L56" s="3" t="s">
        <v>20</v>
      </c>
      <c r="M56" s="6" t="s">
        <v>202</v>
      </c>
      <c r="N56" s="6"/>
    </row>
    <row r="57" spans="1:14" ht="27.5" thickBot="1" x14ac:dyDescent="0.3">
      <c r="A57" s="3" t="s">
        <v>14</v>
      </c>
      <c r="B57" s="3" t="s">
        <v>30</v>
      </c>
      <c r="C57" s="4">
        <v>46204</v>
      </c>
      <c r="D57" s="3" t="str">
        <f>"000300272455"</f>
        <v>000300272455</v>
      </c>
      <c r="E57" s="3" t="str">
        <f>"000000000016222326"</f>
        <v>000000000016222326</v>
      </c>
      <c r="F57" s="3" t="s">
        <v>16</v>
      </c>
      <c r="G57" s="3" t="s">
        <v>27</v>
      </c>
      <c r="H57" s="3" t="s">
        <v>25</v>
      </c>
      <c r="I57" s="5">
        <v>46203</v>
      </c>
      <c r="J57" s="3" t="s">
        <v>34</v>
      </c>
      <c r="K57" s="3" t="s">
        <v>80</v>
      </c>
      <c r="L57" s="3" t="s">
        <v>20</v>
      </c>
      <c r="M57" s="6" t="s">
        <v>202</v>
      </c>
      <c r="N57" s="6"/>
    </row>
    <row r="58" spans="1:14" ht="27.5" thickBot="1" x14ac:dyDescent="0.3">
      <c r="A58" s="3" t="s">
        <v>14</v>
      </c>
      <c r="B58" s="3" t="s">
        <v>30</v>
      </c>
      <c r="C58" s="4">
        <v>46204</v>
      </c>
      <c r="D58" s="3" t="str">
        <f>"000300273025"</f>
        <v>000300273025</v>
      </c>
      <c r="E58" s="3" t="str">
        <f>"000000000016510216"</f>
        <v>000000000016510216</v>
      </c>
      <c r="F58" s="3" t="s">
        <v>16</v>
      </c>
      <c r="G58" s="3" t="s">
        <v>27</v>
      </c>
      <c r="H58" s="3" t="s">
        <v>25</v>
      </c>
      <c r="I58" s="5">
        <v>46203</v>
      </c>
      <c r="J58" s="3" t="s">
        <v>18</v>
      </c>
      <c r="K58" s="3" t="s">
        <v>81</v>
      </c>
      <c r="L58" s="3" t="s">
        <v>20</v>
      </c>
      <c r="M58" s="6" t="s">
        <v>204</v>
      </c>
      <c r="N58" s="6"/>
    </row>
    <row r="59" spans="1:14" ht="27.5" thickBot="1" x14ac:dyDescent="0.3">
      <c r="A59" s="3" t="s">
        <v>14</v>
      </c>
      <c r="B59" s="3" t="s">
        <v>30</v>
      </c>
      <c r="C59" s="4">
        <v>46204</v>
      </c>
      <c r="D59" s="3" t="str">
        <f>"000300273025"</f>
        <v>000300273025</v>
      </c>
      <c r="E59" s="3" t="str">
        <f>"000000000016510216"</f>
        <v>000000000016510216</v>
      </c>
      <c r="F59" s="3" t="s">
        <v>16</v>
      </c>
      <c r="G59" s="3" t="s">
        <v>27</v>
      </c>
      <c r="H59" s="3" t="s">
        <v>25</v>
      </c>
      <c r="I59" s="5">
        <v>46203</v>
      </c>
      <c r="J59" s="3" t="s">
        <v>18</v>
      </c>
      <c r="K59" s="3" t="s">
        <v>82</v>
      </c>
      <c r="L59" s="3" t="s">
        <v>20</v>
      </c>
      <c r="M59" s="6" t="s">
        <v>202</v>
      </c>
      <c r="N59" s="6"/>
    </row>
    <row r="60" spans="1:14" ht="27.5" thickBot="1" x14ac:dyDescent="0.3">
      <c r="A60" s="3" t="s">
        <v>14</v>
      </c>
      <c r="B60" s="3" t="s">
        <v>30</v>
      </c>
      <c r="C60" s="4">
        <v>46204</v>
      </c>
      <c r="D60" s="3" t="str">
        <f>"000300273025"</f>
        <v>000300273025</v>
      </c>
      <c r="E60" s="3" t="str">
        <f>"000000000016510216"</f>
        <v>000000000016510216</v>
      </c>
      <c r="F60" s="3" t="s">
        <v>16</v>
      </c>
      <c r="G60" s="3" t="s">
        <v>27</v>
      </c>
      <c r="H60" s="3" t="s">
        <v>25</v>
      </c>
      <c r="I60" s="5">
        <v>46203</v>
      </c>
      <c r="J60" s="3" t="s">
        <v>18</v>
      </c>
      <c r="K60" s="3" t="s">
        <v>63</v>
      </c>
      <c r="L60" s="3" t="s">
        <v>20</v>
      </c>
      <c r="M60" s="6" t="s">
        <v>202</v>
      </c>
      <c r="N60" s="6"/>
    </row>
    <row r="61" spans="1:14" ht="41" thickBot="1" x14ac:dyDescent="0.3">
      <c r="A61" s="3" t="s">
        <v>14</v>
      </c>
      <c r="B61" s="3" t="s">
        <v>83</v>
      </c>
      <c r="C61" s="4">
        <v>46204</v>
      </c>
      <c r="D61" s="3" t="str">
        <f>"000300265327"</f>
        <v>000300265327</v>
      </c>
      <c r="E61" s="3" t="str">
        <f>"000000000016299213"</f>
        <v>000000000016299213</v>
      </c>
      <c r="F61" s="3" t="s">
        <v>16</v>
      </c>
      <c r="G61" s="3" t="s">
        <v>27</v>
      </c>
      <c r="H61" s="3" t="s">
        <v>25</v>
      </c>
      <c r="I61" s="5">
        <v>46196</v>
      </c>
      <c r="J61" s="3" t="s">
        <v>32</v>
      </c>
      <c r="K61" s="3" t="s">
        <v>84</v>
      </c>
      <c r="L61" s="3" t="s">
        <v>20</v>
      </c>
      <c r="M61" s="6" t="s">
        <v>202</v>
      </c>
      <c r="N61" s="6"/>
    </row>
    <row r="62" spans="1:14" ht="27.5" thickBot="1" x14ac:dyDescent="0.3">
      <c r="A62" s="3" t="s">
        <v>14</v>
      </c>
      <c r="B62" s="3" t="s">
        <v>85</v>
      </c>
      <c r="C62" s="4">
        <v>46082</v>
      </c>
      <c r="D62" s="3" t="str">
        <f>"000300241591"</f>
        <v>000300241591</v>
      </c>
      <c r="E62" s="3" t="str">
        <f>"000000000016321596"</f>
        <v>000000000016321596</v>
      </c>
      <c r="F62" s="3" t="s">
        <v>16</v>
      </c>
      <c r="G62" s="3" t="s">
        <v>22</v>
      </c>
      <c r="H62" s="3" t="s">
        <v>22</v>
      </c>
      <c r="I62" s="5">
        <v>46141</v>
      </c>
      <c r="J62" s="3" t="s">
        <v>18</v>
      </c>
      <c r="K62" s="3" t="s">
        <v>31</v>
      </c>
      <c r="L62" s="3" t="s">
        <v>20</v>
      </c>
      <c r="M62" s="6" t="s">
        <v>200</v>
      </c>
      <c r="N62" s="6"/>
    </row>
    <row r="63" spans="1:14" ht="27.5" thickBot="1" x14ac:dyDescent="0.3">
      <c r="A63" s="3" t="s">
        <v>14</v>
      </c>
      <c r="B63" s="3" t="s">
        <v>85</v>
      </c>
      <c r="C63" s="4">
        <v>46174</v>
      </c>
      <c r="D63" s="3" t="str">
        <f>"000300254520"</f>
        <v>000300254520</v>
      </c>
      <c r="E63" s="3" t="str">
        <f>"000000000015789640"</f>
        <v>000000000015789640</v>
      </c>
      <c r="F63" s="3" t="s">
        <v>16</v>
      </c>
      <c r="G63" s="3" t="s">
        <v>27</v>
      </c>
      <c r="H63" s="3" t="s">
        <v>22</v>
      </c>
      <c r="I63" s="5">
        <v>46141</v>
      </c>
      <c r="J63" s="3" t="s">
        <v>18</v>
      </c>
      <c r="K63" s="3" t="s">
        <v>31</v>
      </c>
      <c r="L63" s="3" t="s">
        <v>20</v>
      </c>
      <c r="M63" s="6" t="s">
        <v>200</v>
      </c>
      <c r="N63" s="6"/>
    </row>
    <row r="64" spans="1:14" ht="27.5" thickBot="1" x14ac:dyDescent="0.3">
      <c r="A64" s="3" t="s">
        <v>14</v>
      </c>
      <c r="B64" s="3" t="s">
        <v>85</v>
      </c>
      <c r="C64" s="4">
        <v>46174</v>
      </c>
      <c r="D64" s="3" t="str">
        <f>"000300254520"</f>
        <v>000300254520</v>
      </c>
      <c r="E64" s="3" t="str">
        <f>"000000000015789640"</f>
        <v>000000000015789640</v>
      </c>
      <c r="F64" s="3" t="s">
        <v>16</v>
      </c>
      <c r="G64" s="3" t="s">
        <v>27</v>
      </c>
      <c r="H64" s="3" t="s">
        <v>21</v>
      </c>
      <c r="I64" s="5">
        <v>46148</v>
      </c>
      <c r="J64" s="3" t="s">
        <v>41</v>
      </c>
      <c r="K64" s="3" t="s">
        <v>86</v>
      </c>
      <c r="L64" s="3" t="s">
        <v>20</v>
      </c>
      <c r="M64" s="6" t="s">
        <v>204</v>
      </c>
      <c r="N64" s="6"/>
    </row>
    <row r="65" spans="1:14" ht="27.5" thickBot="1" x14ac:dyDescent="0.3">
      <c r="A65" s="3" t="s">
        <v>14</v>
      </c>
      <c r="B65" s="3" t="s">
        <v>85</v>
      </c>
      <c r="C65" s="4">
        <v>46174</v>
      </c>
      <c r="D65" s="3" t="str">
        <f>"000300254520"</f>
        <v>000300254520</v>
      </c>
      <c r="E65" s="3" t="str">
        <f>"000000000015789640"</f>
        <v>000000000015789640</v>
      </c>
      <c r="F65" s="3" t="s">
        <v>16</v>
      </c>
      <c r="G65" s="3" t="s">
        <v>27</v>
      </c>
      <c r="H65" s="3" t="s">
        <v>21</v>
      </c>
      <c r="I65" s="5">
        <v>46148</v>
      </c>
      <c r="J65" s="3" t="s">
        <v>18</v>
      </c>
      <c r="K65" s="3" t="s">
        <v>87</v>
      </c>
      <c r="L65" s="3" t="s">
        <v>20</v>
      </c>
      <c r="M65" s="6" t="s">
        <v>204</v>
      </c>
      <c r="N65" s="6"/>
    </row>
    <row r="66" spans="1:14" ht="27.5" thickBot="1" x14ac:dyDescent="0.3">
      <c r="A66" s="3" t="s">
        <v>14</v>
      </c>
      <c r="B66" s="3" t="s">
        <v>85</v>
      </c>
      <c r="C66" s="4">
        <v>46174</v>
      </c>
      <c r="D66" s="3" t="str">
        <f>"000300254520"</f>
        <v>000300254520</v>
      </c>
      <c r="E66" s="3" t="str">
        <f>"000000000015789640"</f>
        <v>000000000015789640</v>
      </c>
      <c r="F66" s="3" t="s">
        <v>16</v>
      </c>
      <c r="G66" s="3" t="s">
        <v>27</v>
      </c>
      <c r="H66" s="3" t="s">
        <v>21</v>
      </c>
      <c r="I66" s="5">
        <v>46148</v>
      </c>
      <c r="J66" s="3" t="s">
        <v>18</v>
      </c>
      <c r="K66" s="3" t="s">
        <v>88</v>
      </c>
      <c r="L66" s="3" t="s">
        <v>20</v>
      </c>
      <c r="M66" s="6" t="s">
        <v>202</v>
      </c>
      <c r="N66" s="6"/>
    </row>
    <row r="67" spans="1:14" ht="27.5" thickBot="1" x14ac:dyDescent="0.3">
      <c r="A67" s="3" t="s">
        <v>14</v>
      </c>
      <c r="B67" s="3" t="s">
        <v>85</v>
      </c>
      <c r="C67" s="4">
        <v>46143</v>
      </c>
      <c r="D67" s="3" t="str">
        <f>"000300255570"</f>
        <v>000300255570</v>
      </c>
      <c r="E67" s="3" t="str">
        <f>"000000000016223780"</f>
        <v>000000000016223780</v>
      </c>
      <c r="F67" s="3" t="s">
        <v>16</v>
      </c>
      <c r="G67" s="3" t="s">
        <v>27</v>
      </c>
      <c r="H67" s="3" t="s">
        <v>21</v>
      </c>
      <c r="I67" s="5">
        <v>46141</v>
      </c>
      <c r="J67" s="3" t="s">
        <v>18</v>
      </c>
      <c r="K67" s="3" t="s">
        <v>89</v>
      </c>
      <c r="L67" s="3" t="s">
        <v>20</v>
      </c>
      <c r="M67" s="6" t="s">
        <v>200</v>
      </c>
      <c r="N67" s="6"/>
    </row>
    <row r="68" spans="1:14" ht="27.5" thickBot="1" x14ac:dyDescent="0.3">
      <c r="A68" s="3" t="s">
        <v>14</v>
      </c>
      <c r="B68" s="3" t="s">
        <v>85</v>
      </c>
      <c r="C68" s="4">
        <v>46143</v>
      </c>
      <c r="D68" s="3" t="str">
        <f>"000300255571"</f>
        <v>000300255571</v>
      </c>
      <c r="E68" s="3" t="str">
        <f>"000000000016223780"</f>
        <v>000000000016223780</v>
      </c>
      <c r="F68" s="3" t="s">
        <v>16</v>
      </c>
      <c r="G68" s="3" t="s">
        <v>27</v>
      </c>
      <c r="H68" s="3" t="s">
        <v>25</v>
      </c>
      <c r="I68" s="5">
        <v>46141</v>
      </c>
      <c r="J68" s="3" t="s">
        <v>18</v>
      </c>
      <c r="K68" s="3" t="s">
        <v>31</v>
      </c>
      <c r="L68" s="3" t="s">
        <v>20</v>
      </c>
      <c r="M68" s="6" t="s">
        <v>200</v>
      </c>
      <c r="N68" s="6"/>
    </row>
    <row r="69" spans="1:14" ht="41" thickBot="1" x14ac:dyDescent="0.3">
      <c r="A69" s="3" t="s">
        <v>14</v>
      </c>
      <c r="B69" s="3" t="s">
        <v>85</v>
      </c>
      <c r="C69" s="4">
        <v>46143</v>
      </c>
      <c r="D69" s="3" t="str">
        <f>"000300255571"</f>
        <v>000300255571</v>
      </c>
      <c r="E69" s="3" t="str">
        <f>"000000000016223780"</f>
        <v>000000000016223780</v>
      </c>
      <c r="F69" s="3" t="s">
        <v>16</v>
      </c>
      <c r="G69" s="3" t="s">
        <v>27</v>
      </c>
      <c r="H69" s="3" t="s">
        <v>25</v>
      </c>
      <c r="I69" s="5">
        <v>46148</v>
      </c>
      <c r="J69" s="3" t="s">
        <v>71</v>
      </c>
      <c r="K69" s="3" t="s">
        <v>90</v>
      </c>
      <c r="L69" s="3" t="s">
        <v>20</v>
      </c>
      <c r="M69" s="6" t="s">
        <v>201</v>
      </c>
      <c r="N69" s="6"/>
    </row>
    <row r="70" spans="1:14" ht="27.5" thickBot="1" x14ac:dyDescent="0.3">
      <c r="A70" s="3" t="s">
        <v>14</v>
      </c>
      <c r="B70" s="3" t="s">
        <v>85</v>
      </c>
      <c r="C70" s="4">
        <v>46143</v>
      </c>
      <c r="D70" s="3" t="str">
        <f t="shared" ref="D70:D75" si="9">"000300255992"</f>
        <v>000300255992</v>
      </c>
      <c r="E70" s="3" t="str">
        <f t="shared" ref="E70:E76" si="10">"000000000015774104"</f>
        <v>000000000015774104</v>
      </c>
      <c r="F70" s="3" t="s">
        <v>16</v>
      </c>
      <c r="G70" s="3" t="s">
        <v>27</v>
      </c>
      <c r="H70" s="3" t="s">
        <v>22</v>
      </c>
      <c r="I70" s="5">
        <v>46141</v>
      </c>
      <c r="J70" s="3" t="s">
        <v>18</v>
      </c>
      <c r="K70" s="3" t="s">
        <v>91</v>
      </c>
      <c r="L70" s="3" t="s">
        <v>20</v>
      </c>
      <c r="M70" s="6" t="s">
        <v>201</v>
      </c>
      <c r="N70" s="6"/>
    </row>
    <row r="71" spans="1:14" ht="27.5" thickBot="1" x14ac:dyDescent="0.3">
      <c r="A71" s="3" t="s">
        <v>14</v>
      </c>
      <c r="B71" s="3" t="s">
        <v>85</v>
      </c>
      <c r="C71" s="4">
        <v>46143</v>
      </c>
      <c r="D71" s="3" t="str">
        <f t="shared" si="9"/>
        <v>000300255992</v>
      </c>
      <c r="E71" s="3" t="str">
        <f t="shared" si="10"/>
        <v>000000000015774104</v>
      </c>
      <c r="F71" s="3" t="s">
        <v>16</v>
      </c>
      <c r="G71" s="3" t="s">
        <v>27</v>
      </c>
      <c r="H71" s="3" t="s">
        <v>25</v>
      </c>
      <c r="I71" s="5">
        <v>46148</v>
      </c>
      <c r="J71" s="3" t="s">
        <v>32</v>
      </c>
      <c r="K71" s="3" t="s">
        <v>92</v>
      </c>
      <c r="L71" s="3" t="s">
        <v>20</v>
      </c>
      <c r="M71" s="6" t="s">
        <v>202</v>
      </c>
      <c r="N71" s="6"/>
    </row>
    <row r="72" spans="1:14" ht="27.5" thickBot="1" x14ac:dyDescent="0.3">
      <c r="A72" s="3" t="s">
        <v>14</v>
      </c>
      <c r="B72" s="3" t="s">
        <v>85</v>
      </c>
      <c r="C72" s="4">
        <v>46143</v>
      </c>
      <c r="D72" s="3" t="str">
        <f t="shared" si="9"/>
        <v>000300255992</v>
      </c>
      <c r="E72" s="3" t="str">
        <f t="shared" si="10"/>
        <v>000000000015774104</v>
      </c>
      <c r="F72" s="3" t="s">
        <v>16</v>
      </c>
      <c r="G72" s="3" t="s">
        <v>27</v>
      </c>
      <c r="H72" s="3" t="s">
        <v>25</v>
      </c>
      <c r="I72" s="5">
        <v>46148</v>
      </c>
      <c r="J72" s="3" t="s">
        <v>41</v>
      </c>
      <c r="K72" s="3" t="s">
        <v>93</v>
      </c>
      <c r="L72" s="3" t="s">
        <v>20</v>
      </c>
      <c r="M72" s="6" t="s">
        <v>202</v>
      </c>
      <c r="N72" s="6"/>
    </row>
    <row r="73" spans="1:14" ht="27.5" thickBot="1" x14ac:dyDescent="0.3">
      <c r="A73" s="3" t="s">
        <v>14</v>
      </c>
      <c r="B73" s="3" t="s">
        <v>85</v>
      </c>
      <c r="C73" s="4">
        <v>46143</v>
      </c>
      <c r="D73" s="3" t="str">
        <f t="shared" si="9"/>
        <v>000300255992</v>
      </c>
      <c r="E73" s="3" t="str">
        <f t="shared" si="10"/>
        <v>000000000015774104</v>
      </c>
      <c r="F73" s="3" t="s">
        <v>16</v>
      </c>
      <c r="G73" s="3" t="s">
        <v>27</v>
      </c>
      <c r="H73" s="3" t="s">
        <v>25</v>
      </c>
      <c r="I73" s="5">
        <v>46148</v>
      </c>
      <c r="J73" s="3" t="s">
        <v>18</v>
      </c>
      <c r="K73" s="3" t="s">
        <v>94</v>
      </c>
      <c r="L73" s="3" t="s">
        <v>20</v>
      </c>
      <c r="M73" s="6" t="s">
        <v>202</v>
      </c>
      <c r="N73" s="6"/>
    </row>
    <row r="74" spans="1:14" ht="27.5" thickBot="1" x14ac:dyDescent="0.3">
      <c r="A74" s="3" t="s">
        <v>14</v>
      </c>
      <c r="B74" s="3" t="s">
        <v>85</v>
      </c>
      <c r="C74" s="4">
        <v>46143</v>
      </c>
      <c r="D74" s="3" t="str">
        <f t="shared" si="9"/>
        <v>000300255992</v>
      </c>
      <c r="E74" s="3" t="str">
        <f t="shared" si="10"/>
        <v>000000000015774104</v>
      </c>
      <c r="F74" s="3" t="s">
        <v>16</v>
      </c>
      <c r="G74" s="3" t="s">
        <v>27</v>
      </c>
      <c r="H74" s="3" t="s">
        <v>25</v>
      </c>
      <c r="I74" s="5">
        <v>46148</v>
      </c>
      <c r="J74" s="3" t="s">
        <v>18</v>
      </c>
      <c r="K74" s="3" t="s">
        <v>95</v>
      </c>
      <c r="L74" s="3" t="s">
        <v>20</v>
      </c>
      <c r="M74" s="6" t="s">
        <v>202</v>
      </c>
      <c r="N74" s="6"/>
    </row>
    <row r="75" spans="1:14" ht="27.5" thickBot="1" x14ac:dyDescent="0.3">
      <c r="A75" s="3" t="s">
        <v>14</v>
      </c>
      <c r="B75" s="3" t="s">
        <v>85</v>
      </c>
      <c r="C75" s="4">
        <v>46143</v>
      </c>
      <c r="D75" s="3" t="str">
        <f t="shared" si="9"/>
        <v>000300255992</v>
      </c>
      <c r="E75" s="3" t="str">
        <f t="shared" si="10"/>
        <v>000000000015774104</v>
      </c>
      <c r="F75" s="3" t="s">
        <v>16</v>
      </c>
      <c r="G75" s="3" t="s">
        <v>27</v>
      </c>
      <c r="H75" s="3" t="s">
        <v>25</v>
      </c>
      <c r="I75" s="5">
        <v>46148</v>
      </c>
      <c r="J75" s="3" t="s">
        <v>18</v>
      </c>
      <c r="K75" s="3" t="s">
        <v>96</v>
      </c>
      <c r="L75" s="3" t="s">
        <v>20</v>
      </c>
      <c r="M75" s="6" t="s">
        <v>202</v>
      </c>
      <c r="N75" s="6"/>
    </row>
    <row r="76" spans="1:14" ht="27.5" thickBot="1" x14ac:dyDescent="0.3">
      <c r="A76" s="3" t="s">
        <v>14</v>
      </c>
      <c r="B76" s="3" t="s">
        <v>85</v>
      </c>
      <c r="C76" s="4">
        <v>46143</v>
      </c>
      <c r="D76" s="3" t="str">
        <f>"000300255995"</f>
        <v>000300255995</v>
      </c>
      <c r="E76" s="3" t="str">
        <f t="shared" si="10"/>
        <v>000000000015774104</v>
      </c>
      <c r="F76" s="3" t="s">
        <v>16</v>
      </c>
      <c r="G76" s="3" t="s">
        <v>27</v>
      </c>
      <c r="H76" s="3" t="s">
        <v>22</v>
      </c>
      <c r="I76" s="5">
        <v>46141</v>
      </c>
      <c r="J76" s="3" t="s">
        <v>18</v>
      </c>
      <c r="K76" s="3" t="s">
        <v>31</v>
      </c>
      <c r="L76" s="3" t="s">
        <v>20</v>
      </c>
      <c r="M76" s="6" t="s">
        <v>200</v>
      </c>
      <c r="N76" s="6"/>
    </row>
    <row r="77" spans="1:14" ht="27.5" thickBot="1" x14ac:dyDescent="0.3">
      <c r="A77" s="3" t="s">
        <v>14</v>
      </c>
      <c r="B77" s="3" t="s">
        <v>85</v>
      </c>
      <c r="C77" s="4">
        <v>46113</v>
      </c>
      <c r="D77" s="3" t="str">
        <f>"000300256356"</f>
        <v>000300256356</v>
      </c>
      <c r="E77" s="3" t="str">
        <f>"000000000016375874"</f>
        <v>000000000016375874</v>
      </c>
      <c r="F77" s="3" t="s">
        <v>16</v>
      </c>
      <c r="G77" s="3" t="s">
        <v>27</v>
      </c>
      <c r="H77" s="3" t="s">
        <v>25</v>
      </c>
      <c r="I77" s="5">
        <v>46162</v>
      </c>
      <c r="J77" s="3" t="s">
        <v>41</v>
      </c>
      <c r="K77" s="3" t="s">
        <v>97</v>
      </c>
      <c r="L77" s="3" t="s">
        <v>20</v>
      </c>
      <c r="M77" s="6" t="s">
        <v>202</v>
      </c>
      <c r="N77" s="6"/>
    </row>
    <row r="78" spans="1:14" ht="27.5" thickBot="1" x14ac:dyDescent="0.3">
      <c r="A78" s="3" t="s">
        <v>14</v>
      </c>
      <c r="B78" s="3" t="s">
        <v>85</v>
      </c>
      <c r="C78" s="4">
        <v>46113</v>
      </c>
      <c r="D78" s="3" t="str">
        <f>"000300256356"</f>
        <v>000300256356</v>
      </c>
      <c r="E78" s="3" t="str">
        <f>"000000000016375874"</f>
        <v>000000000016375874</v>
      </c>
      <c r="F78" s="3" t="s">
        <v>16</v>
      </c>
      <c r="G78" s="3" t="s">
        <v>27</v>
      </c>
      <c r="H78" s="3" t="s">
        <v>25</v>
      </c>
      <c r="I78" s="5">
        <v>46162</v>
      </c>
      <c r="J78" s="3" t="s">
        <v>18</v>
      </c>
      <c r="K78" s="3" t="s">
        <v>98</v>
      </c>
      <c r="L78" s="3" t="s">
        <v>20</v>
      </c>
      <c r="M78" s="6" t="s">
        <v>202</v>
      </c>
      <c r="N78" s="6"/>
    </row>
    <row r="79" spans="1:14" ht="27.5" thickBot="1" x14ac:dyDescent="0.3">
      <c r="A79" s="3" t="s">
        <v>14</v>
      </c>
      <c r="B79" s="3" t="s">
        <v>85</v>
      </c>
      <c r="C79" s="4">
        <v>46113</v>
      </c>
      <c r="D79" s="3" t="str">
        <f>"000300256356"</f>
        <v>000300256356</v>
      </c>
      <c r="E79" s="3" t="str">
        <f>"000000000016375874"</f>
        <v>000000000016375874</v>
      </c>
      <c r="F79" s="3" t="s">
        <v>16</v>
      </c>
      <c r="G79" s="3" t="s">
        <v>27</v>
      </c>
      <c r="H79" s="3" t="s">
        <v>25</v>
      </c>
      <c r="I79" s="5">
        <v>46162</v>
      </c>
      <c r="J79" s="3" t="s">
        <v>32</v>
      </c>
      <c r="K79" s="3" t="s">
        <v>99</v>
      </c>
      <c r="L79" s="3" t="s">
        <v>20</v>
      </c>
      <c r="M79" s="6" t="s">
        <v>202</v>
      </c>
      <c r="N79" s="6"/>
    </row>
    <row r="80" spans="1:14" ht="27.5" thickBot="1" x14ac:dyDescent="0.3">
      <c r="A80" s="3" t="s">
        <v>14</v>
      </c>
      <c r="B80" s="3" t="s">
        <v>85</v>
      </c>
      <c r="C80" s="4">
        <v>46174</v>
      </c>
      <c r="D80" s="3" t="str">
        <f>"000300260833"</f>
        <v>000300260833</v>
      </c>
      <c r="E80" s="3" t="str">
        <f t="shared" ref="E80:E87" si="11">"000000000016465393"</f>
        <v>000000000016465393</v>
      </c>
      <c r="F80" s="3" t="s">
        <v>16</v>
      </c>
      <c r="G80" s="3" t="s">
        <v>27</v>
      </c>
      <c r="H80" s="3" t="s">
        <v>21</v>
      </c>
      <c r="I80" s="5">
        <v>46156</v>
      </c>
      <c r="J80" s="3" t="s">
        <v>41</v>
      </c>
      <c r="K80" s="3" t="s">
        <v>100</v>
      </c>
      <c r="L80" s="3" t="s">
        <v>20</v>
      </c>
      <c r="M80" s="6" t="s">
        <v>202</v>
      </c>
      <c r="N80" s="6"/>
    </row>
    <row r="81" spans="1:14" ht="27.5" thickBot="1" x14ac:dyDescent="0.3">
      <c r="A81" s="3" t="s">
        <v>14</v>
      </c>
      <c r="B81" s="3" t="s">
        <v>85</v>
      </c>
      <c r="C81" s="4">
        <v>46174</v>
      </c>
      <c r="D81" s="3" t="str">
        <f>"000300260833"</f>
        <v>000300260833</v>
      </c>
      <c r="E81" s="3" t="str">
        <f t="shared" si="11"/>
        <v>000000000016465393</v>
      </c>
      <c r="F81" s="3" t="s">
        <v>16</v>
      </c>
      <c r="G81" s="3" t="s">
        <v>27</v>
      </c>
      <c r="H81" s="3" t="s">
        <v>21</v>
      </c>
      <c r="I81" s="5">
        <v>46156</v>
      </c>
      <c r="J81" s="3" t="s">
        <v>56</v>
      </c>
      <c r="K81" s="3" t="s">
        <v>101</v>
      </c>
      <c r="L81" s="3" t="s">
        <v>20</v>
      </c>
      <c r="M81" s="6" t="s">
        <v>205</v>
      </c>
      <c r="N81" s="6"/>
    </row>
    <row r="82" spans="1:14" ht="27.5" thickBot="1" x14ac:dyDescent="0.3">
      <c r="A82" s="3" t="s">
        <v>14</v>
      </c>
      <c r="B82" s="3" t="s">
        <v>85</v>
      </c>
      <c r="C82" s="4">
        <v>46174</v>
      </c>
      <c r="D82" s="3" t="str">
        <f>"000300260833"</f>
        <v>000300260833</v>
      </c>
      <c r="E82" s="3" t="str">
        <f t="shared" si="11"/>
        <v>000000000016465393</v>
      </c>
      <c r="F82" s="3" t="s">
        <v>16</v>
      </c>
      <c r="G82" s="3" t="s">
        <v>27</v>
      </c>
      <c r="H82" s="3" t="s">
        <v>21</v>
      </c>
      <c r="I82" s="5">
        <v>46156</v>
      </c>
      <c r="J82" s="3" t="s">
        <v>18</v>
      </c>
      <c r="K82" s="3" t="s">
        <v>102</v>
      </c>
      <c r="L82" s="3" t="s">
        <v>20</v>
      </c>
      <c r="M82" s="6" t="s">
        <v>202</v>
      </c>
      <c r="N82" s="6"/>
    </row>
    <row r="83" spans="1:14" ht="27.5" thickBot="1" x14ac:dyDescent="0.3">
      <c r="A83" s="3" t="s">
        <v>14</v>
      </c>
      <c r="B83" s="3" t="s">
        <v>85</v>
      </c>
      <c r="C83" s="4">
        <v>46174</v>
      </c>
      <c r="D83" s="3" t="str">
        <f>"000300260834"</f>
        <v>000300260834</v>
      </c>
      <c r="E83" s="3" t="str">
        <f t="shared" si="11"/>
        <v>000000000016465393</v>
      </c>
      <c r="F83" s="3" t="s">
        <v>16</v>
      </c>
      <c r="G83" s="3" t="s">
        <v>27</v>
      </c>
      <c r="H83" s="3" t="s">
        <v>25</v>
      </c>
      <c r="I83" s="5">
        <v>46155</v>
      </c>
      <c r="J83" s="3" t="s">
        <v>41</v>
      </c>
      <c r="K83" s="3" t="s">
        <v>103</v>
      </c>
      <c r="L83" s="3" t="s">
        <v>20</v>
      </c>
      <c r="M83" s="6" t="s">
        <v>202</v>
      </c>
      <c r="N83" s="6"/>
    </row>
    <row r="84" spans="1:14" ht="27.5" thickBot="1" x14ac:dyDescent="0.3">
      <c r="A84" s="3" t="s">
        <v>14</v>
      </c>
      <c r="B84" s="3" t="s">
        <v>85</v>
      </c>
      <c r="C84" s="4">
        <v>46174</v>
      </c>
      <c r="D84" s="3" t="str">
        <f>"000300260834"</f>
        <v>000300260834</v>
      </c>
      <c r="E84" s="3" t="str">
        <f t="shared" si="11"/>
        <v>000000000016465393</v>
      </c>
      <c r="F84" s="3" t="s">
        <v>16</v>
      </c>
      <c r="G84" s="3" t="s">
        <v>27</v>
      </c>
      <c r="H84" s="3" t="s">
        <v>25</v>
      </c>
      <c r="I84" s="5">
        <v>46155</v>
      </c>
      <c r="J84" s="3" t="s">
        <v>18</v>
      </c>
      <c r="K84" s="3" t="s">
        <v>104</v>
      </c>
      <c r="L84" s="3" t="s">
        <v>20</v>
      </c>
      <c r="M84" s="6" t="s">
        <v>202</v>
      </c>
      <c r="N84" s="6"/>
    </row>
    <row r="85" spans="1:14" ht="27.5" thickBot="1" x14ac:dyDescent="0.3">
      <c r="A85" s="3" t="s">
        <v>14</v>
      </c>
      <c r="B85" s="3" t="s">
        <v>85</v>
      </c>
      <c r="C85" s="4">
        <v>46174</v>
      </c>
      <c r="D85" s="3" t="str">
        <f>"000300260834"</f>
        <v>000300260834</v>
      </c>
      <c r="E85" s="3" t="str">
        <f t="shared" si="11"/>
        <v>000000000016465393</v>
      </c>
      <c r="F85" s="3" t="s">
        <v>16</v>
      </c>
      <c r="G85" s="3" t="s">
        <v>27</v>
      </c>
      <c r="H85" s="3" t="s">
        <v>25</v>
      </c>
      <c r="I85" s="5">
        <v>46155</v>
      </c>
      <c r="J85" s="3" t="s">
        <v>18</v>
      </c>
      <c r="K85" s="3" t="s">
        <v>74</v>
      </c>
      <c r="L85" s="3" t="s">
        <v>20</v>
      </c>
      <c r="M85" s="6" t="s">
        <v>202</v>
      </c>
      <c r="N85" s="6"/>
    </row>
    <row r="86" spans="1:14" ht="27.5" thickBot="1" x14ac:dyDescent="0.3">
      <c r="A86" s="3" t="s">
        <v>14</v>
      </c>
      <c r="B86" s="3" t="s">
        <v>85</v>
      </c>
      <c r="C86" s="4">
        <v>46174</v>
      </c>
      <c r="D86" s="3" t="str">
        <f>"000300260834"</f>
        <v>000300260834</v>
      </c>
      <c r="E86" s="3" t="str">
        <f t="shared" si="11"/>
        <v>000000000016465393</v>
      </c>
      <c r="F86" s="3" t="s">
        <v>16</v>
      </c>
      <c r="G86" s="3" t="s">
        <v>27</v>
      </c>
      <c r="H86" s="3" t="s">
        <v>25</v>
      </c>
      <c r="I86" s="5">
        <v>46155</v>
      </c>
      <c r="J86" s="3" t="s">
        <v>18</v>
      </c>
      <c r="K86" s="3" t="s">
        <v>105</v>
      </c>
      <c r="L86" s="3" t="s">
        <v>20</v>
      </c>
      <c r="M86" s="6" t="s">
        <v>202</v>
      </c>
      <c r="N86" s="6"/>
    </row>
    <row r="87" spans="1:14" ht="27.5" thickBot="1" x14ac:dyDescent="0.3">
      <c r="A87" s="3" t="s">
        <v>14</v>
      </c>
      <c r="B87" s="3" t="s">
        <v>85</v>
      </c>
      <c r="C87" s="4">
        <v>46174</v>
      </c>
      <c r="D87" s="3" t="str">
        <f>"000300260834"</f>
        <v>000300260834</v>
      </c>
      <c r="E87" s="3" t="str">
        <f t="shared" si="11"/>
        <v>000000000016465393</v>
      </c>
      <c r="F87" s="3" t="s">
        <v>16</v>
      </c>
      <c r="G87" s="3" t="s">
        <v>27</v>
      </c>
      <c r="H87" s="3" t="s">
        <v>25</v>
      </c>
      <c r="I87" s="5">
        <v>46155</v>
      </c>
      <c r="J87" s="3" t="s">
        <v>18</v>
      </c>
      <c r="K87" s="3" t="s">
        <v>106</v>
      </c>
      <c r="L87" s="3" t="s">
        <v>20</v>
      </c>
      <c r="M87" s="6" t="s">
        <v>202</v>
      </c>
      <c r="N87" s="6"/>
    </row>
    <row r="88" spans="1:14" ht="27.5" thickBot="1" x14ac:dyDescent="0.3">
      <c r="A88" s="3" t="s">
        <v>14</v>
      </c>
      <c r="B88" s="3" t="s">
        <v>85</v>
      </c>
      <c r="C88" s="4">
        <v>46174</v>
      </c>
      <c r="D88" s="3" t="str">
        <f t="shared" ref="D88:D94" si="12">"000300261221"</f>
        <v>000300261221</v>
      </c>
      <c r="E88" s="3" t="str">
        <f t="shared" ref="E88:E102" si="13">"000000000016465156"</f>
        <v>000000000016465156</v>
      </c>
      <c r="F88" s="3" t="s">
        <v>16</v>
      </c>
      <c r="G88" s="3" t="s">
        <v>27</v>
      </c>
      <c r="H88" s="3" t="s">
        <v>25</v>
      </c>
      <c r="I88" s="5">
        <v>46161</v>
      </c>
      <c r="J88" s="3" t="s">
        <v>34</v>
      </c>
      <c r="K88" s="3" t="s">
        <v>107</v>
      </c>
      <c r="L88" s="3" t="s">
        <v>20</v>
      </c>
      <c r="M88" s="6" t="s">
        <v>204</v>
      </c>
      <c r="N88" s="6"/>
    </row>
    <row r="89" spans="1:14" ht="27.5" thickBot="1" x14ac:dyDescent="0.3">
      <c r="A89" s="3" t="s">
        <v>14</v>
      </c>
      <c r="B89" s="3" t="s">
        <v>85</v>
      </c>
      <c r="C89" s="4">
        <v>46174</v>
      </c>
      <c r="D89" s="3" t="str">
        <f t="shared" si="12"/>
        <v>000300261221</v>
      </c>
      <c r="E89" s="3" t="str">
        <f t="shared" si="13"/>
        <v>000000000016465156</v>
      </c>
      <c r="F89" s="3" t="s">
        <v>16</v>
      </c>
      <c r="G89" s="3" t="s">
        <v>27</v>
      </c>
      <c r="H89" s="3" t="s">
        <v>25</v>
      </c>
      <c r="I89" s="5">
        <v>46161</v>
      </c>
      <c r="J89" s="3" t="s">
        <v>18</v>
      </c>
      <c r="K89" s="3" t="s">
        <v>108</v>
      </c>
      <c r="L89" s="3" t="s">
        <v>20</v>
      </c>
      <c r="M89" s="6" t="s">
        <v>205</v>
      </c>
      <c r="N89" s="6"/>
    </row>
    <row r="90" spans="1:14" ht="27.5" thickBot="1" x14ac:dyDescent="0.3">
      <c r="A90" s="3" t="s">
        <v>14</v>
      </c>
      <c r="B90" s="3" t="s">
        <v>85</v>
      </c>
      <c r="C90" s="4">
        <v>46174</v>
      </c>
      <c r="D90" s="3" t="str">
        <f t="shared" si="12"/>
        <v>000300261221</v>
      </c>
      <c r="E90" s="3" t="str">
        <f t="shared" si="13"/>
        <v>000000000016465156</v>
      </c>
      <c r="F90" s="3" t="s">
        <v>16</v>
      </c>
      <c r="G90" s="3" t="s">
        <v>27</v>
      </c>
      <c r="H90" s="3" t="s">
        <v>25</v>
      </c>
      <c r="I90" s="5">
        <v>46161</v>
      </c>
      <c r="J90" s="3" t="s">
        <v>18</v>
      </c>
      <c r="K90" s="3" t="s">
        <v>109</v>
      </c>
      <c r="L90" s="3" t="s">
        <v>20</v>
      </c>
      <c r="M90" s="6" t="s">
        <v>202</v>
      </c>
      <c r="N90" s="6"/>
    </row>
    <row r="91" spans="1:14" ht="27.5" thickBot="1" x14ac:dyDescent="0.3">
      <c r="A91" s="3" t="s">
        <v>14</v>
      </c>
      <c r="B91" s="3" t="s">
        <v>85</v>
      </c>
      <c r="C91" s="4">
        <v>46174</v>
      </c>
      <c r="D91" s="3" t="str">
        <f t="shared" si="12"/>
        <v>000300261221</v>
      </c>
      <c r="E91" s="3" t="str">
        <f t="shared" si="13"/>
        <v>000000000016465156</v>
      </c>
      <c r="F91" s="3" t="s">
        <v>16</v>
      </c>
      <c r="G91" s="3" t="s">
        <v>27</v>
      </c>
      <c r="H91" s="3" t="s">
        <v>25</v>
      </c>
      <c r="I91" s="5">
        <v>46161</v>
      </c>
      <c r="J91" s="3" t="s">
        <v>18</v>
      </c>
      <c r="K91" s="3" t="s">
        <v>110</v>
      </c>
      <c r="L91" s="3" t="s">
        <v>20</v>
      </c>
      <c r="M91" s="6" t="s">
        <v>202</v>
      </c>
      <c r="N91" s="6"/>
    </row>
    <row r="92" spans="1:14" ht="27.5" thickBot="1" x14ac:dyDescent="0.3">
      <c r="A92" s="3" t="s">
        <v>14</v>
      </c>
      <c r="B92" s="3" t="s">
        <v>85</v>
      </c>
      <c r="C92" s="4">
        <v>46174</v>
      </c>
      <c r="D92" s="3" t="str">
        <f t="shared" si="12"/>
        <v>000300261221</v>
      </c>
      <c r="E92" s="3" t="str">
        <f t="shared" si="13"/>
        <v>000000000016465156</v>
      </c>
      <c r="F92" s="3" t="s">
        <v>16</v>
      </c>
      <c r="G92" s="3" t="s">
        <v>27</v>
      </c>
      <c r="H92" s="3" t="s">
        <v>25</v>
      </c>
      <c r="I92" s="5">
        <v>46161</v>
      </c>
      <c r="J92" s="3" t="s">
        <v>18</v>
      </c>
      <c r="K92" s="3" t="s">
        <v>111</v>
      </c>
      <c r="L92" s="3" t="s">
        <v>20</v>
      </c>
      <c r="M92" s="6" t="s">
        <v>202</v>
      </c>
      <c r="N92" s="6"/>
    </row>
    <row r="93" spans="1:14" ht="27.5" thickBot="1" x14ac:dyDescent="0.3">
      <c r="A93" s="3" t="s">
        <v>14</v>
      </c>
      <c r="B93" s="3" t="s">
        <v>85</v>
      </c>
      <c r="C93" s="4">
        <v>46174</v>
      </c>
      <c r="D93" s="3" t="str">
        <f t="shared" si="12"/>
        <v>000300261221</v>
      </c>
      <c r="E93" s="3" t="str">
        <f t="shared" si="13"/>
        <v>000000000016465156</v>
      </c>
      <c r="F93" s="3" t="s">
        <v>16</v>
      </c>
      <c r="G93" s="3" t="s">
        <v>27</v>
      </c>
      <c r="H93" s="3" t="s">
        <v>25</v>
      </c>
      <c r="I93" s="5">
        <v>46161</v>
      </c>
      <c r="J93" s="3" t="s">
        <v>41</v>
      </c>
      <c r="K93" s="3" t="s">
        <v>112</v>
      </c>
      <c r="L93" s="3" t="s">
        <v>20</v>
      </c>
      <c r="M93" s="6" t="s">
        <v>204</v>
      </c>
      <c r="N93" s="6"/>
    </row>
    <row r="94" spans="1:14" ht="27.5" thickBot="1" x14ac:dyDescent="0.3">
      <c r="A94" s="3" t="s">
        <v>14</v>
      </c>
      <c r="B94" s="3" t="s">
        <v>85</v>
      </c>
      <c r="C94" s="4">
        <v>46174</v>
      </c>
      <c r="D94" s="3" t="str">
        <f t="shared" si="12"/>
        <v>000300261221</v>
      </c>
      <c r="E94" s="3" t="str">
        <f t="shared" si="13"/>
        <v>000000000016465156</v>
      </c>
      <c r="F94" s="3" t="s">
        <v>16</v>
      </c>
      <c r="G94" s="3" t="s">
        <v>27</v>
      </c>
      <c r="H94" s="3" t="s">
        <v>25</v>
      </c>
      <c r="I94" s="5">
        <v>46161</v>
      </c>
      <c r="J94" s="3" t="s">
        <v>18</v>
      </c>
      <c r="K94" s="3" t="s">
        <v>113</v>
      </c>
      <c r="L94" s="3" t="s">
        <v>20</v>
      </c>
      <c r="M94" s="6" t="s">
        <v>202</v>
      </c>
      <c r="N94" s="6"/>
    </row>
    <row r="95" spans="1:14" ht="27.5" thickBot="1" x14ac:dyDescent="0.3">
      <c r="A95" s="3" t="s">
        <v>14</v>
      </c>
      <c r="B95" s="3" t="s">
        <v>85</v>
      </c>
      <c r="C95" s="4">
        <v>46174</v>
      </c>
      <c r="D95" s="3" t="str">
        <f>"000300261313"</f>
        <v>000300261313</v>
      </c>
      <c r="E95" s="3" t="str">
        <f t="shared" si="13"/>
        <v>000000000016465156</v>
      </c>
      <c r="F95" s="3" t="s">
        <v>16</v>
      </c>
      <c r="G95" s="3" t="s">
        <v>27</v>
      </c>
      <c r="H95" s="3" t="s">
        <v>17</v>
      </c>
      <c r="I95" s="5">
        <v>46162</v>
      </c>
      <c r="J95" s="3" t="s">
        <v>41</v>
      </c>
      <c r="K95" s="3" t="s">
        <v>114</v>
      </c>
      <c r="L95" s="3" t="s">
        <v>20</v>
      </c>
      <c r="M95" s="6" t="s">
        <v>204</v>
      </c>
      <c r="N95" s="6"/>
    </row>
    <row r="96" spans="1:14" ht="27.5" thickBot="1" x14ac:dyDescent="0.3">
      <c r="A96" s="3" t="s">
        <v>14</v>
      </c>
      <c r="B96" s="3" t="s">
        <v>85</v>
      </c>
      <c r="C96" s="4">
        <v>46174</v>
      </c>
      <c r="D96" s="3" t="str">
        <f>"000300261313"</f>
        <v>000300261313</v>
      </c>
      <c r="E96" s="3" t="str">
        <f t="shared" si="13"/>
        <v>000000000016465156</v>
      </c>
      <c r="F96" s="3" t="s">
        <v>16</v>
      </c>
      <c r="G96" s="3" t="s">
        <v>27</v>
      </c>
      <c r="H96" s="3" t="s">
        <v>17</v>
      </c>
      <c r="I96" s="5">
        <v>46162</v>
      </c>
      <c r="J96" s="3" t="s">
        <v>18</v>
      </c>
      <c r="K96" s="3" t="s">
        <v>115</v>
      </c>
      <c r="L96" s="3" t="s">
        <v>20</v>
      </c>
      <c r="M96" s="6" t="s">
        <v>202</v>
      </c>
      <c r="N96" s="6"/>
    </row>
    <row r="97" spans="1:14" ht="27.5" thickBot="1" x14ac:dyDescent="0.3">
      <c r="A97" s="3" t="s">
        <v>14</v>
      </c>
      <c r="B97" s="3" t="s">
        <v>85</v>
      </c>
      <c r="C97" s="4">
        <v>46174</v>
      </c>
      <c r="D97" s="3" t="str">
        <f>"000300261313"</f>
        <v>000300261313</v>
      </c>
      <c r="E97" s="3" t="str">
        <f t="shared" si="13"/>
        <v>000000000016465156</v>
      </c>
      <c r="F97" s="3" t="s">
        <v>16</v>
      </c>
      <c r="G97" s="3" t="s">
        <v>27</v>
      </c>
      <c r="H97" s="3" t="s">
        <v>17</v>
      </c>
      <c r="I97" s="5">
        <v>46162</v>
      </c>
      <c r="J97" s="3" t="s">
        <v>18</v>
      </c>
      <c r="K97" s="3" t="s">
        <v>116</v>
      </c>
      <c r="L97" s="3" t="s">
        <v>20</v>
      </c>
      <c r="M97" s="6" t="s">
        <v>202</v>
      </c>
      <c r="N97" s="6"/>
    </row>
    <row r="98" spans="1:14" ht="54.5" thickBot="1" x14ac:dyDescent="0.3">
      <c r="A98" s="3" t="s">
        <v>14</v>
      </c>
      <c r="B98" s="3" t="s">
        <v>85</v>
      </c>
      <c r="C98" s="4">
        <v>46174</v>
      </c>
      <c r="D98" s="3" t="str">
        <f>"000300261313"</f>
        <v>000300261313</v>
      </c>
      <c r="E98" s="3" t="str">
        <f t="shared" si="13"/>
        <v>000000000016465156</v>
      </c>
      <c r="F98" s="3" t="s">
        <v>16</v>
      </c>
      <c r="G98" s="3" t="s">
        <v>27</v>
      </c>
      <c r="H98" s="3" t="s">
        <v>17</v>
      </c>
      <c r="I98" s="5">
        <v>46162</v>
      </c>
      <c r="J98" s="3" t="s">
        <v>18</v>
      </c>
      <c r="K98" s="3" t="s">
        <v>117</v>
      </c>
      <c r="L98" s="3" t="s">
        <v>20</v>
      </c>
      <c r="M98" s="6" t="s">
        <v>201</v>
      </c>
      <c r="N98" s="6"/>
    </row>
    <row r="99" spans="1:14" ht="27.5" thickBot="1" x14ac:dyDescent="0.3">
      <c r="A99" s="3" t="s">
        <v>14</v>
      </c>
      <c r="B99" s="3" t="s">
        <v>85</v>
      </c>
      <c r="C99" s="4">
        <v>46174</v>
      </c>
      <c r="D99" s="3" t="str">
        <f>"000300261314"</f>
        <v>000300261314</v>
      </c>
      <c r="E99" s="3" t="str">
        <f t="shared" si="13"/>
        <v>000000000016465156</v>
      </c>
      <c r="F99" s="3" t="s">
        <v>16</v>
      </c>
      <c r="G99" s="3" t="s">
        <v>27</v>
      </c>
      <c r="H99" s="3" t="s">
        <v>25</v>
      </c>
      <c r="I99" s="5">
        <v>46162</v>
      </c>
      <c r="J99" s="3" t="s">
        <v>18</v>
      </c>
      <c r="K99" s="3" t="s">
        <v>118</v>
      </c>
      <c r="L99" s="3" t="s">
        <v>20</v>
      </c>
      <c r="M99" s="6" t="s">
        <v>205</v>
      </c>
      <c r="N99" s="6"/>
    </row>
    <row r="100" spans="1:14" ht="27.5" thickBot="1" x14ac:dyDescent="0.3">
      <c r="A100" s="3" t="s">
        <v>14</v>
      </c>
      <c r="B100" s="3" t="s">
        <v>85</v>
      </c>
      <c r="C100" s="4">
        <v>46174</v>
      </c>
      <c r="D100" s="3" t="str">
        <f>"000300261314"</f>
        <v>000300261314</v>
      </c>
      <c r="E100" s="3" t="str">
        <f t="shared" si="13"/>
        <v>000000000016465156</v>
      </c>
      <c r="F100" s="3" t="s">
        <v>16</v>
      </c>
      <c r="G100" s="3" t="s">
        <v>27</v>
      </c>
      <c r="H100" s="3" t="s">
        <v>25</v>
      </c>
      <c r="I100" s="5">
        <v>46162</v>
      </c>
      <c r="J100" s="3" t="s">
        <v>18</v>
      </c>
      <c r="K100" s="3" t="s">
        <v>119</v>
      </c>
      <c r="L100" s="3" t="s">
        <v>20</v>
      </c>
      <c r="M100" s="6" t="s">
        <v>202</v>
      </c>
      <c r="N100" s="6"/>
    </row>
    <row r="101" spans="1:14" ht="27.5" thickBot="1" x14ac:dyDescent="0.3">
      <c r="A101" s="3" t="s">
        <v>14</v>
      </c>
      <c r="B101" s="3" t="s">
        <v>85</v>
      </c>
      <c r="C101" s="4">
        <v>46174</v>
      </c>
      <c r="D101" s="3" t="str">
        <f>"000300261314"</f>
        <v>000300261314</v>
      </c>
      <c r="E101" s="3" t="str">
        <f t="shared" si="13"/>
        <v>000000000016465156</v>
      </c>
      <c r="F101" s="3" t="s">
        <v>16</v>
      </c>
      <c r="G101" s="3" t="s">
        <v>27</v>
      </c>
      <c r="H101" s="3" t="s">
        <v>25</v>
      </c>
      <c r="I101" s="5">
        <v>46162</v>
      </c>
      <c r="J101" s="3" t="s">
        <v>41</v>
      </c>
      <c r="K101" s="3" t="s">
        <v>120</v>
      </c>
      <c r="L101" s="3" t="s">
        <v>20</v>
      </c>
      <c r="M101" s="6" t="s">
        <v>204</v>
      </c>
      <c r="N101" s="6"/>
    </row>
    <row r="102" spans="1:14" ht="27.5" thickBot="1" x14ac:dyDescent="0.3">
      <c r="A102" s="3" t="s">
        <v>14</v>
      </c>
      <c r="B102" s="3" t="s">
        <v>85</v>
      </c>
      <c r="C102" s="4">
        <v>46174</v>
      </c>
      <c r="D102" s="3" t="str">
        <f>"000300261314"</f>
        <v>000300261314</v>
      </c>
      <c r="E102" s="3" t="str">
        <f t="shared" si="13"/>
        <v>000000000016465156</v>
      </c>
      <c r="F102" s="3" t="s">
        <v>16</v>
      </c>
      <c r="G102" s="3" t="s">
        <v>27</v>
      </c>
      <c r="H102" s="3" t="s">
        <v>25</v>
      </c>
      <c r="I102" s="5">
        <v>46162</v>
      </c>
      <c r="J102" s="3" t="s">
        <v>34</v>
      </c>
      <c r="K102" s="3" t="s">
        <v>121</v>
      </c>
      <c r="L102" s="3" t="s">
        <v>20</v>
      </c>
      <c r="M102" s="6" t="s">
        <v>204</v>
      </c>
      <c r="N102" s="6"/>
    </row>
    <row r="103" spans="1:14" ht="27.5" thickBot="1" x14ac:dyDescent="0.3">
      <c r="A103" s="3" t="s">
        <v>14</v>
      </c>
      <c r="B103" s="3" t="s">
        <v>85</v>
      </c>
      <c r="C103" s="4">
        <v>46204</v>
      </c>
      <c r="D103" s="3" t="str">
        <f>"000300267378"</f>
        <v>000300267378</v>
      </c>
      <c r="E103" s="3" t="str">
        <f>"000000000016243153"</f>
        <v>000000000016243153</v>
      </c>
      <c r="F103" s="3" t="s">
        <v>16</v>
      </c>
      <c r="G103" s="3" t="s">
        <v>27</v>
      </c>
      <c r="H103" s="3" t="s">
        <v>25</v>
      </c>
      <c r="I103" s="5">
        <v>46204</v>
      </c>
      <c r="J103" s="3" t="s">
        <v>32</v>
      </c>
      <c r="K103" s="3" t="s">
        <v>122</v>
      </c>
      <c r="L103" s="3" t="s">
        <v>20</v>
      </c>
      <c r="M103" s="6" t="s">
        <v>202</v>
      </c>
      <c r="N103" s="6"/>
    </row>
    <row r="104" spans="1:14" ht="27.5" thickBot="1" x14ac:dyDescent="0.3">
      <c r="A104" s="3" t="s">
        <v>14</v>
      </c>
      <c r="B104" s="3" t="s">
        <v>85</v>
      </c>
      <c r="C104" s="4">
        <v>46204</v>
      </c>
      <c r="D104" s="3" t="str">
        <f>"000300267378"</f>
        <v>000300267378</v>
      </c>
      <c r="E104" s="3" t="str">
        <f>"000000000016243153"</f>
        <v>000000000016243153</v>
      </c>
      <c r="F104" s="3" t="s">
        <v>16</v>
      </c>
      <c r="G104" s="3" t="s">
        <v>27</v>
      </c>
      <c r="H104" s="3" t="s">
        <v>25</v>
      </c>
      <c r="I104" s="5">
        <v>46204</v>
      </c>
      <c r="J104" s="3" t="s">
        <v>18</v>
      </c>
      <c r="K104" s="3" t="s">
        <v>123</v>
      </c>
      <c r="L104" s="3" t="s">
        <v>20</v>
      </c>
      <c r="M104" s="6" t="s">
        <v>202</v>
      </c>
      <c r="N104" s="6"/>
    </row>
    <row r="105" spans="1:14" ht="41" thickBot="1" x14ac:dyDescent="0.3">
      <c r="A105" s="3" t="s">
        <v>14</v>
      </c>
      <c r="B105" s="3" t="s">
        <v>124</v>
      </c>
      <c r="C105" s="4">
        <v>46204</v>
      </c>
      <c r="D105" s="3" t="str">
        <f>"000300266630"</f>
        <v>000300266630</v>
      </c>
      <c r="E105" s="3" t="str">
        <f>"000000000016429559"</f>
        <v>000000000016429559</v>
      </c>
      <c r="F105" s="3" t="s">
        <v>16</v>
      </c>
      <c r="G105" s="3" t="s">
        <v>27</v>
      </c>
      <c r="H105" s="3" t="s">
        <v>25</v>
      </c>
      <c r="I105" s="5">
        <v>46185</v>
      </c>
      <c r="J105" s="3" t="s">
        <v>28</v>
      </c>
      <c r="K105" s="3" t="s">
        <v>125</v>
      </c>
      <c r="L105" s="3" t="s">
        <v>20</v>
      </c>
      <c r="M105" s="6" t="s">
        <v>201</v>
      </c>
      <c r="N105" s="6"/>
    </row>
    <row r="106" spans="1:14" ht="54.5" thickBot="1" x14ac:dyDescent="0.3">
      <c r="A106" s="3" t="s">
        <v>14</v>
      </c>
      <c r="B106" s="3" t="s">
        <v>124</v>
      </c>
      <c r="C106" s="4">
        <v>46204</v>
      </c>
      <c r="D106" s="3" t="str">
        <f>"000300266682"</f>
        <v>000300266682</v>
      </c>
      <c r="E106" s="3" t="str">
        <f>"000000000016444876"</f>
        <v>000000000016444876</v>
      </c>
      <c r="F106" s="3" t="s">
        <v>16</v>
      </c>
      <c r="G106" s="3" t="s">
        <v>126</v>
      </c>
      <c r="H106" s="3" t="s">
        <v>126</v>
      </c>
      <c r="I106" s="5">
        <v>46197</v>
      </c>
      <c r="J106" s="3" t="s">
        <v>18</v>
      </c>
      <c r="K106" s="3" t="s">
        <v>127</v>
      </c>
      <c r="L106" s="3" t="s">
        <v>20</v>
      </c>
      <c r="M106" s="6" t="s">
        <v>201</v>
      </c>
      <c r="N106" s="6"/>
    </row>
    <row r="107" spans="1:14" ht="41" thickBot="1" x14ac:dyDescent="0.3">
      <c r="A107" s="3" t="s">
        <v>14</v>
      </c>
      <c r="B107" s="3" t="s">
        <v>124</v>
      </c>
      <c r="C107" s="4">
        <v>46235</v>
      </c>
      <c r="D107" s="3" t="str">
        <f>"000300269317"</f>
        <v>000300269317</v>
      </c>
      <c r="E107" s="3" t="str">
        <f>"000000000016476298"</f>
        <v>000000000016476298</v>
      </c>
      <c r="F107" s="3" t="s">
        <v>16</v>
      </c>
      <c r="G107" s="3" t="s">
        <v>27</v>
      </c>
      <c r="H107" s="3" t="s">
        <v>25</v>
      </c>
      <c r="I107" s="5">
        <v>46196</v>
      </c>
      <c r="J107" s="3" t="s">
        <v>28</v>
      </c>
      <c r="K107" s="3" t="s">
        <v>128</v>
      </c>
      <c r="L107" s="3" t="s">
        <v>20</v>
      </c>
      <c r="M107" s="6" t="s">
        <v>201</v>
      </c>
      <c r="N107" s="6"/>
    </row>
    <row r="108" spans="1:14" ht="108.5" thickBot="1" x14ac:dyDescent="0.3">
      <c r="A108" s="3" t="s">
        <v>14</v>
      </c>
      <c r="B108" s="3" t="s">
        <v>124</v>
      </c>
      <c r="C108" s="4">
        <v>46235</v>
      </c>
      <c r="D108" s="3" t="str">
        <f>"000300269318"</f>
        <v>000300269318</v>
      </c>
      <c r="E108" s="3" t="str">
        <f>"000000000016476298"</f>
        <v>000000000016476298</v>
      </c>
      <c r="F108" s="3" t="s">
        <v>16</v>
      </c>
      <c r="G108" s="3" t="s">
        <v>27</v>
      </c>
      <c r="H108" s="3" t="s">
        <v>25</v>
      </c>
      <c r="I108" s="5">
        <v>46192</v>
      </c>
      <c r="J108" s="3" t="s">
        <v>18</v>
      </c>
      <c r="K108" s="3" t="s">
        <v>129</v>
      </c>
      <c r="L108" s="3" t="s">
        <v>20</v>
      </c>
      <c r="M108" s="6" t="s">
        <v>201</v>
      </c>
      <c r="N108" s="6"/>
    </row>
    <row r="109" spans="1:14" ht="108.5" thickBot="1" x14ac:dyDescent="0.3">
      <c r="A109" s="3" t="s">
        <v>14</v>
      </c>
      <c r="B109" s="3" t="s">
        <v>124</v>
      </c>
      <c r="C109" s="4">
        <v>46235</v>
      </c>
      <c r="D109" s="3" t="str">
        <f>"000300269319"</f>
        <v>000300269319</v>
      </c>
      <c r="E109" s="3" t="str">
        <f>"000000000016476298"</f>
        <v>000000000016476298</v>
      </c>
      <c r="F109" s="3" t="s">
        <v>16</v>
      </c>
      <c r="G109" s="3" t="s">
        <v>27</v>
      </c>
      <c r="H109" s="3" t="s">
        <v>25</v>
      </c>
      <c r="I109" s="5">
        <v>46191</v>
      </c>
      <c r="J109" s="3" t="s">
        <v>18</v>
      </c>
      <c r="K109" s="3" t="s">
        <v>130</v>
      </c>
      <c r="L109" s="3" t="s">
        <v>20</v>
      </c>
      <c r="M109" s="6" t="s">
        <v>200</v>
      </c>
      <c r="N109" s="6"/>
    </row>
    <row r="110" spans="1:14" ht="27.5" thickBot="1" x14ac:dyDescent="0.3">
      <c r="A110" s="3" t="s">
        <v>14</v>
      </c>
      <c r="B110" s="3" t="s">
        <v>124</v>
      </c>
      <c r="C110" s="4">
        <v>46235</v>
      </c>
      <c r="D110" s="3" t="str">
        <f>"000300269319"</f>
        <v>000300269319</v>
      </c>
      <c r="E110" s="3" t="str">
        <f>"000000000016476298"</f>
        <v>000000000016476298</v>
      </c>
      <c r="F110" s="3" t="s">
        <v>16</v>
      </c>
      <c r="G110" s="3" t="s">
        <v>27</v>
      </c>
      <c r="H110" s="3" t="s">
        <v>21</v>
      </c>
      <c r="I110" s="5">
        <v>46192</v>
      </c>
      <c r="J110" s="3" t="s">
        <v>28</v>
      </c>
      <c r="K110" s="3" t="s">
        <v>131</v>
      </c>
      <c r="L110" s="3" t="s">
        <v>20</v>
      </c>
      <c r="M110" s="6" t="s">
        <v>201</v>
      </c>
      <c r="N110" s="6"/>
    </row>
    <row r="111" spans="1:14" ht="95" thickBot="1" x14ac:dyDescent="0.3">
      <c r="A111" s="3" t="s">
        <v>14</v>
      </c>
      <c r="B111" s="3" t="s">
        <v>124</v>
      </c>
      <c r="C111" s="4">
        <v>46235</v>
      </c>
      <c r="D111" s="3" t="str">
        <f>"000300269320"</f>
        <v>000300269320</v>
      </c>
      <c r="E111" s="3" t="str">
        <f>"000000000016476298"</f>
        <v>000000000016476298</v>
      </c>
      <c r="F111" s="3" t="s">
        <v>16</v>
      </c>
      <c r="G111" s="3" t="s">
        <v>27</v>
      </c>
      <c r="H111" s="3" t="s">
        <v>25</v>
      </c>
      <c r="I111" s="5">
        <v>46190</v>
      </c>
      <c r="J111" s="3" t="s">
        <v>28</v>
      </c>
      <c r="K111" s="3" t="s">
        <v>132</v>
      </c>
      <c r="L111" s="3" t="s">
        <v>20</v>
      </c>
      <c r="M111" s="6" t="s">
        <v>201</v>
      </c>
      <c r="N111" s="6"/>
    </row>
    <row r="112" spans="1:14" ht="27.5" thickBot="1" x14ac:dyDescent="0.3">
      <c r="A112" s="3" t="s">
        <v>14</v>
      </c>
      <c r="B112" s="3" t="s">
        <v>124</v>
      </c>
      <c r="C112" s="4">
        <v>46204</v>
      </c>
      <c r="D112" s="3" t="str">
        <f>"000300269752"</f>
        <v>000300269752</v>
      </c>
      <c r="E112" s="3" t="str">
        <f>"000000000016244052"</f>
        <v>000000000016244052</v>
      </c>
      <c r="F112" s="3" t="s">
        <v>16</v>
      </c>
      <c r="G112" s="3" t="s">
        <v>22</v>
      </c>
      <c r="H112" s="3" t="s">
        <v>22</v>
      </c>
      <c r="I112" s="5">
        <v>46197</v>
      </c>
      <c r="J112" s="3" t="s">
        <v>28</v>
      </c>
      <c r="K112" s="3" t="s">
        <v>133</v>
      </c>
      <c r="L112" s="3" t="s">
        <v>20</v>
      </c>
      <c r="M112" s="6" t="s">
        <v>201</v>
      </c>
      <c r="N112" s="6"/>
    </row>
    <row r="113" spans="1:14" ht="41" thickBot="1" x14ac:dyDescent="0.3">
      <c r="A113" s="3" t="s">
        <v>14</v>
      </c>
      <c r="B113" s="3" t="s">
        <v>124</v>
      </c>
      <c r="C113" s="4">
        <v>46204</v>
      </c>
      <c r="D113" s="3" t="str">
        <f>"000300270309"</f>
        <v>000300270309</v>
      </c>
      <c r="E113" s="3" t="str">
        <f>"000000000016445015"</f>
        <v>000000000016445015</v>
      </c>
      <c r="F113" s="3" t="s">
        <v>16</v>
      </c>
      <c r="G113" s="3" t="s">
        <v>27</v>
      </c>
      <c r="H113" s="3" t="s">
        <v>25</v>
      </c>
      <c r="I113" s="5">
        <v>46197</v>
      </c>
      <c r="J113" s="3" t="s">
        <v>18</v>
      </c>
      <c r="K113" s="3" t="s">
        <v>134</v>
      </c>
      <c r="L113" s="3" t="s">
        <v>20</v>
      </c>
      <c r="M113" s="6" t="s">
        <v>201</v>
      </c>
      <c r="N113" s="6"/>
    </row>
    <row r="114" spans="1:14" ht="41" thickBot="1" x14ac:dyDescent="0.3">
      <c r="A114" s="3" t="s">
        <v>14</v>
      </c>
      <c r="B114" s="3" t="s">
        <v>124</v>
      </c>
      <c r="C114" s="4">
        <v>46204</v>
      </c>
      <c r="D114" s="3" t="str">
        <f>"000300270777"</f>
        <v>000300270777</v>
      </c>
      <c r="E114" s="3" t="str">
        <f>"000000000016448421"</f>
        <v>000000000016448421</v>
      </c>
      <c r="F114" s="3" t="s">
        <v>16</v>
      </c>
      <c r="G114" s="3" t="s">
        <v>27</v>
      </c>
      <c r="H114" s="3" t="s">
        <v>21</v>
      </c>
      <c r="I114" s="5">
        <v>46197</v>
      </c>
      <c r="J114" s="3" t="s">
        <v>18</v>
      </c>
      <c r="K114" s="3" t="s">
        <v>135</v>
      </c>
      <c r="L114" s="3" t="s">
        <v>20</v>
      </c>
      <c r="M114" s="6" t="s">
        <v>201</v>
      </c>
      <c r="N114" s="6"/>
    </row>
    <row r="115" spans="1:14" ht="41" thickBot="1" x14ac:dyDescent="0.3">
      <c r="A115" s="3" t="s">
        <v>14</v>
      </c>
      <c r="B115" s="3" t="s">
        <v>124</v>
      </c>
      <c r="C115" s="4">
        <v>46204</v>
      </c>
      <c r="D115" s="3" t="str">
        <f>"000300270777"</f>
        <v>000300270777</v>
      </c>
      <c r="E115" s="3" t="str">
        <f>"000000000016448421"</f>
        <v>000000000016448421</v>
      </c>
      <c r="F115" s="3" t="s">
        <v>16</v>
      </c>
      <c r="G115" s="3" t="s">
        <v>27</v>
      </c>
      <c r="H115" s="3" t="s">
        <v>21</v>
      </c>
      <c r="I115" s="5">
        <v>46197</v>
      </c>
      <c r="J115" s="3" t="s">
        <v>71</v>
      </c>
      <c r="K115" s="3" t="s">
        <v>135</v>
      </c>
      <c r="L115" s="3" t="s">
        <v>20</v>
      </c>
      <c r="M115" s="6" t="s">
        <v>201</v>
      </c>
      <c r="N115" s="6"/>
    </row>
    <row r="116" spans="1:14" ht="95" thickBot="1" x14ac:dyDescent="0.3">
      <c r="A116" s="3" t="s">
        <v>14</v>
      </c>
      <c r="B116" s="3" t="s">
        <v>124</v>
      </c>
      <c r="C116" s="4">
        <v>46204</v>
      </c>
      <c r="D116" s="3" t="str">
        <f>"000300270777"</f>
        <v>000300270777</v>
      </c>
      <c r="E116" s="3" t="str">
        <f>"000000000016448421"</f>
        <v>000000000016448421</v>
      </c>
      <c r="F116" s="3" t="s">
        <v>16</v>
      </c>
      <c r="G116" s="3" t="s">
        <v>27</v>
      </c>
      <c r="H116" s="3" t="s">
        <v>17</v>
      </c>
      <c r="I116" s="5">
        <v>46198</v>
      </c>
      <c r="J116" s="3" t="s">
        <v>18</v>
      </c>
      <c r="K116" s="3" t="s">
        <v>136</v>
      </c>
      <c r="L116" s="3" t="s">
        <v>20</v>
      </c>
      <c r="M116" s="6" t="s">
        <v>200</v>
      </c>
      <c r="N116" s="6"/>
    </row>
    <row r="117" spans="1:14" ht="41" thickBot="1" x14ac:dyDescent="0.3">
      <c r="A117" s="3" t="s">
        <v>14</v>
      </c>
      <c r="B117" s="3" t="s">
        <v>124</v>
      </c>
      <c r="C117" s="4">
        <v>46204</v>
      </c>
      <c r="D117" s="3" t="str">
        <f>"000300271814"</f>
        <v>000300271814</v>
      </c>
      <c r="E117" s="3" t="str">
        <f>"000000000016217470"</f>
        <v>000000000016217470</v>
      </c>
      <c r="F117" s="3" t="s">
        <v>16</v>
      </c>
      <c r="G117" s="3" t="s">
        <v>27</v>
      </c>
      <c r="H117" s="3" t="s">
        <v>17</v>
      </c>
      <c r="I117" s="5">
        <v>46199</v>
      </c>
      <c r="J117" s="3" t="s">
        <v>18</v>
      </c>
      <c r="K117" s="3" t="s">
        <v>137</v>
      </c>
      <c r="L117" s="3" t="s">
        <v>20</v>
      </c>
      <c r="M117" s="6" t="s">
        <v>200</v>
      </c>
      <c r="N117" s="6"/>
    </row>
    <row r="118" spans="1:14" ht="54.5" thickBot="1" x14ac:dyDescent="0.3">
      <c r="A118" s="3" t="s">
        <v>14</v>
      </c>
      <c r="B118" s="3" t="s">
        <v>124</v>
      </c>
      <c r="C118" s="4">
        <v>46235</v>
      </c>
      <c r="D118" s="3" t="str">
        <f>"000300272601"</f>
        <v>000300272601</v>
      </c>
      <c r="E118" s="3" t="str">
        <f>"000000000016219430"</f>
        <v>000000000016219430</v>
      </c>
      <c r="F118" s="3" t="s">
        <v>16</v>
      </c>
      <c r="G118" s="3" t="s">
        <v>27</v>
      </c>
      <c r="H118" s="3" t="s">
        <v>22</v>
      </c>
      <c r="I118" s="5">
        <v>46203</v>
      </c>
      <c r="J118" s="3" t="s">
        <v>71</v>
      </c>
      <c r="K118" s="3" t="s">
        <v>138</v>
      </c>
      <c r="L118" s="3" t="s">
        <v>20</v>
      </c>
      <c r="M118" s="6" t="s">
        <v>201</v>
      </c>
      <c r="N118" s="6"/>
    </row>
    <row r="119" spans="1:14" ht="41" thickBot="1" x14ac:dyDescent="0.3">
      <c r="A119" s="3" t="s">
        <v>14</v>
      </c>
      <c r="B119" s="3" t="s">
        <v>124</v>
      </c>
      <c r="C119" s="4">
        <v>46235</v>
      </c>
      <c r="D119" s="3" t="str">
        <f>"000300275050"</f>
        <v>000300275050</v>
      </c>
      <c r="E119" s="3" t="str">
        <f>"000000000016429559"</f>
        <v>000000000016429559</v>
      </c>
      <c r="F119" s="3" t="s">
        <v>16</v>
      </c>
      <c r="G119" s="3" t="s">
        <v>22</v>
      </c>
      <c r="H119" s="3" t="s">
        <v>22</v>
      </c>
      <c r="I119" s="5">
        <v>46205</v>
      </c>
      <c r="J119" s="3" t="s">
        <v>28</v>
      </c>
      <c r="K119" s="3" t="s">
        <v>139</v>
      </c>
      <c r="L119" s="3" t="s">
        <v>20</v>
      </c>
      <c r="M119" s="6" t="s">
        <v>201</v>
      </c>
      <c r="N119" s="6"/>
    </row>
    <row r="120" spans="1:14" ht="27.5" thickBot="1" x14ac:dyDescent="0.3">
      <c r="A120" s="3" t="s">
        <v>14</v>
      </c>
      <c r="B120" s="3" t="s">
        <v>124</v>
      </c>
      <c r="C120" s="4">
        <v>46235</v>
      </c>
      <c r="D120" s="3" t="str">
        <f>"000300275799"</f>
        <v>000300275799</v>
      </c>
      <c r="E120" s="3" t="str">
        <f>"000000000016360311"</f>
        <v>000000000016360311</v>
      </c>
      <c r="F120" s="3" t="s">
        <v>16</v>
      </c>
      <c r="G120" s="3" t="s">
        <v>22</v>
      </c>
      <c r="H120" s="3" t="s">
        <v>22</v>
      </c>
      <c r="I120" s="5">
        <v>46205</v>
      </c>
      <c r="J120" s="3" t="s">
        <v>28</v>
      </c>
      <c r="K120" s="3" t="s">
        <v>140</v>
      </c>
      <c r="L120" s="3" t="s">
        <v>20</v>
      </c>
      <c r="M120" s="6" t="s">
        <v>201</v>
      </c>
      <c r="N120" s="6"/>
    </row>
    <row r="121" spans="1:14" ht="27.5" thickBot="1" x14ac:dyDescent="0.3">
      <c r="A121" s="3" t="s">
        <v>14</v>
      </c>
      <c r="B121" s="3" t="s">
        <v>141</v>
      </c>
      <c r="C121" s="4">
        <v>46174</v>
      </c>
      <c r="D121" s="3" t="str">
        <f>"000300266587"</f>
        <v>000300266587</v>
      </c>
      <c r="E121" s="3" t="str">
        <f>"000000000016526112"</f>
        <v>000000000016526112</v>
      </c>
      <c r="F121" s="3" t="s">
        <v>16</v>
      </c>
      <c r="G121" s="3" t="s">
        <v>27</v>
      </c>
      <c r="H121" s="3" t="s">
        <v>25</v>
      </c>
      <c r="I121" s="5">
        <v>46183</v>
      </c>
      <c r="J121" s="3" t="s">
        <v>71</v>
      </c>
      <c r="K121" s="3" t="s">
        <v>142</v>
      </c>
      <c r="L121" s="3" t="s">
        <v>20</v>
      </c>
      <c r="M121" s="6" t="s">
        <v>201</v>
      </c>
      <c r="N121" s="6"/>
    </row>
    <row r="122" spans="1:14" ht="41" thickBot="1" x14ac:dyDescent="0.3">
      <c r="A122" s="3" t="s">
        <v>14</v>
      </c>
      <c r="B122" s="3" t="s">
        <v>141</v>
      </c>
      <c r="C122" s="4">
        <v>46204</v>
      </c>
      <c r="D122" s="3" t="str">
        <f>"000300270427"</f>
        <v>000300270427</v>
      </c>
      <c r="E122" s="3" t="str">
        <f>"000000000015497313"</f>
        <v>000000000015497313</v>
      </c>
      <c r="F122" s="3" t="s">
        <v>16</v>
      </c>
      <c r="G122" s="3" t="s">
        <v>27</v>
      </c>
      <c r="H122" s="3" t="s">
        <v>22</v>
      </c>
      <c r="I122" s="5">
        <v>46184</v>
      </c>
      <c r="J122" s="3" t="s">
        <v>71</v>
      </c>
      <c r="K122" s="3" t="s">
        <v>143</v>
      </c>
      <c r="L122" s="3" t="s">
        <v>20</v>
      </c>
      <c r="M122" s="6" t="s">
        <v>201</v>
      </c>
      <c r="N122" s="6"/>
    </row>
    <row r="123" spans="1:14" ht="41" thickBot="1" x14ac:dyDescent="0.3">
      <c r="A123" s="3" t="s">
        <v>14</v>
      </c>
      <c r="B123" s="3" t="s">
        <v>141</v>
      </c>
      <c r="C123" s="4">
        <v>46204</v>
      </c>
      <c r="D123" s="3" t="str">
        <f>"000300271999"</f>
        <v>000300271999</v>
      </c>
      <c r="E123" s="3" t="str">
        <f>"000000000016547942"</f>
        <v>000000000016547942</v>
      </c>
      <c r="F123" s="3" t="s">
        <v>16</v>
      </c>
      <c r="G123" s="3" t="s">
        <v>27</v>
      </c>
      <c r="H123" s="3" t="s">
        <v>22</v>
      </c>
      <c r="I123" s="5">
        <v>46184</v>
      </c>
      <c r="J123" s="3" t="s">
        <v>71</v>
      </c>
      <c r="K123" s="3" t="s">
        <v>144</v>
      </c>
      <c r="L123" s="3" t="s">
        <v>20</v>
      </c>
      <c r="M123" s="6" t="s">
        <v>201</v>
      </c>
      <c r="N123" s="6"/>
    </row>
    <row r="124" spans="1:14" ht="41" thickBot="1" x14ac:dyDescent="0.3">
      <c r="A124" s="3" t="s">
        <v>14</v>
      </c>
      <c r="B124" s="3" t="s">
        <v>141</v>
      </c>
      <c r="C124" s="4">
        <v>46204</v>
      </c>
      <c r="D124" s="3" t="str">
        <f>"000300272000"</f>
        <v>000300272000</v>
      </c>
      <c r="E124" s="3" t="str">
        <f>"000000000016547942"</f>
        <v>000000000016547942</v>
      </c>
      <c r="F124" s="3" t="s">
        <v>16</v>
      </c>
      <c r="G124" s="3" t="s">
        <v>27</v>
      </c>
      <c r="H124" s="3" t="s">
        <v>22</v>
      </c>
      <c r="I124" s="5">
        <v>46184</v>
      </c>
      <c r="J124" s="3" t="s">
        <v>71</v>
      </c>
      <c r="K124" s="3" t="s">
        <v>145</v>
      </c>
      <c r="L124" s="3" t="s">
        <v>20</v>
      </c>
      <c r="M124" s="6" t="s">
        <v>201</v>
      </c>
      <c r="N124" s="6"/>
    </row>
    <row r="125" spans="1:14" ht="27.5" thickBot="1" x14ac:dyDescent="0.3">
      <c r="A125" s="3" t="s">
        <v>14</v>
      </c>
      <c r="B125" s="3" t="s">
        <v>141</v>
      </c>
      <c r="C125" s="4">
        <v>46204</v>
      </c>
      <c r="D125" s="3" t="str">
        <f>"000300272275"</f>
        <v>000300272275</v>
      </c>
      <c r="E125" s="3" t="str">
        <f>"000000000016288866"</f>
        <v>000000000016288866</v>
      </c>
      <c r="F125" s="3" t="s">
        <v>16</v>
      </c>
      <c r="G125" s="3" t="s">
        <v>27</v>
      </c>
      <c r="H125" s="3" t="s">
        <v>17</v>
      </c>
      <c r="I125" s="5">
        <v>46205</v>
      </c>
      <c r="J125" s="3" t="s">
        <v>71</v>
      </c>
      <c r="K125" s="3" t="s">
        <v>146</v>
      </c>
      <c r="L125" s="3" t="s">
        <v>20</v>
      </c>
      <c r="M125" s="6" t="s">
        <v>201</v>
      </c>
      <c r="N125" s="6"/>
    </row>
    <row r="126" spans="1:14" ht="41" thickBot="1" x14ac:dyDescent="0.3">
      <c r="A126" s="3" t="s">
        <v>14</v>
      </c>
      <c r="B126" s="3" t="s">
        <v>147</v>
      </c>
      <c r="C126" s="4">
        <v>46174</v>
      </c>
      <c r="D126" s="3" t="str">
        <f>"000300257650"</f>
        <v>000300257650</v>
      </c>
      <c r="E126" s="3" t="str">
        <f>"000000000015420000"</f>
        <v>000000000015420000</v>
      </c>
      <c r="F126" s="3" t="s">
        <v>16</v>
      </c>
      <c r="G126" s="3" t="s">
        <v>27</v>
      </c>
      <c r="H126" s="3" t="s">
        <v>25</v>
      </c>
      <c r="I126" s="5">
        <v>46162</v>
      </c>
      <c r="J126" s="3" t="s">
        <v>18</v>
      </c>
      <c r="K126" s="3" t="s">
        <v>148</v>
      </c>
      <c r="L126" s="3" t="s">
        <v>20</v>
      </c>
      <c r="M126" s="6" t="s">
        <v>200</v>
      </c>
      <c r="N126" s="6"/>
    </row>
    <row r="127" spans="1:14" ht="41" thickBot="1" x14ac:dyDescent="0.3">
      <c r="A127" s="3" t="s">
        <v>14</v>
      </c>
      <c r="B127" s="3" t="s">
        <v>147</v>
      </c>
      <c r="C127" s="4">
        <v>46174</v>
      </c>
      <c r="D127" s="3" t="str">
        <f>"000300262516"</f>
        <v>000300262516</v>
      </c>
      <c r="E127" s="3" t="str">
        <f>"000000000016292987"</f>
        <v>000000000016292987</v>
      </c>
      <c r="F127" s="3" t="s">
        <v>16</v>
      </c>
      <c r="G127" s="3" t="s">
        <v>149</v>
      </c>
      <c r="H127" s="3" t="s">
        <v>22</v>
      </c>
      <c r="I127" s="5">
        <v>46170</v>
      </c>
      <c r="J127" s="3" t="s">
        <v>18</v>
      </c>
      <c r="K127" s="3" t="s">
        <v>150</v>
      </c>
      <c r="L127" s="3" t="s">
        <v>20</v>
      </c>
      <c r="M127" s="6" t="s">
        <v>204</v>
      </c>
      <c r="N127" s="6"/>
    </row>
    <row r="128" spans="1:14" ht="41" thickBot="1" x14ac:dyDescent="0.3">
      <c r="A128" s="3" t="s">
        <v>14</v>
      </c>
      <c r="B128" s="3" t="s">
        <v>147</v>
      </c>
      <c r="C128" s="4">
        <v>46204</v>
      </c>
      <c r="D128" s="3" t="str">
        <f>"000300263244"</f>
        <v>000300263244</v>
      </c>
      <c r="E128" s="3" t="str">
        <f>"000000000016218140"</f>
        <v>000000000016218140</v>
      </c>
      <c r="F128" s="3" t="s">
        <v>16</v>
      </c>
      <c r="G128" s="3" t="s">
        <v>149</v>
      </c>
      <c r="H128" s="3" t="s">
        <v>22</v>
      </c>
      <c r="I128" s="5">
        <v>46162</v>
      </c>
      <c r="J128" s="3" t="s">
        <v>18</v>
      </c>
      <c r="K128" s="3" t="s">
        <v>151</v>
      </c>
      <c r="L128" s="3" t="s">
        <v>20</v>
      </c>
      <c r="M128" s="6" t="s">
        <v>200</v>
      </c>
      <c r="N128" s="6"/>
    </row>
    <row r="129" spans="1:14" ht="41" thickBot="1" x14ac:dyDescent="0.3">
      <c r="A129" s="3" t="s">
        <v>14</v>
      </c>
      <c r="B129" s="3" t="s">
        <v>147</v>
      </c>
      <c r="C129" s="4">
        <v>46204</v>
      </c>
      <c r="D129" s="3" t="str">
        <f>"000300265851"</f>
        <v>000300265851</v>
      </c>
      <c r="E129" s="3" t="str">
        <f>"000000000016523741"</f>
        <v>000000000016523741</v>
      </c>
      <c r="F129" s="3" t="s">
        <v>16</v>
      </c>
      <c r="G129" s="3" t="s">
        <v>27</v>
      </c>
      <c r="H129" s="3" t="s">
        <v>22</v>
      </c>
      <c r="I129" s="5">
        <v>46175</v>
      </c>
      <c r="J129" s="3" t="s">
        <v>18</v>
      </c>
      <c r="K129" s="3" t="s">
        <v>152</v>
      </c>
      <c r="L129" s="3" t="s">
        <v>20</v>
      </c>
      <c r="M129" s="6" t="s">
        <v>204</v>
      </c>
      <c r="N129" s="6"/>
    </row>
    <row r="130" spans="1:14" ht="41" thickBot="1" x14ac:dyDescent="0.3">
      <c r="A130" s="3" t="s">
        <v>14</v>
      </c>
      <c r="B130" s="3" t="s">
        <v>147</v>
      </c>
      <c r="C130" s="4">
        <v>46204</v>
      </c>
      <c r="D130" s="3" t="str">
        <f>"000300266218"</f>
        <v>000300266218</v>
      </c>
      <c r="E130" s="3" t="str">
        <f>"000000000015187632"</f>
        <v>000000000015187632</v>
      </c>
      <c r="F130" s="3" t="s">
        <v>16</v>
      </c>
      <c r="G130" s="3" t="s">
        <v>27</v>
      </c>
      <c r="H130" s="3" t="s">
        <v>22</v>
      </c>
      <c r="I130" s="5">
        <v>46171</v>
      </c>
      <c r="J130" s="3" t="s">
        <v>18</v>
      </c>
      <c r="K130" s="3" t="s">
        <v>153</v>
      </c>
      <c r="L130" s="3" t="s">
        <v>20</v>
      </c>
      <c r="M130" s="6" t="s">
        <v>200</v>
      </c>
      <c r="N130" s="6"/>
    </row>
    <row r="131" spans="1:14" ht="41" thickBot="1" x14ac:dyDescent="0.3">
      <c r="A131" s="3" t="s">
        <v>14</v>
      </c>
      <c r="B131" s="3" t="s">
        <v>147</v>
      </c>
      <c r="C131" s="4">
        <v>46204</v>
      </c>
      <c r="D131" s="3" t="str">
        <f>"000300266268"</f>
        <v>000300266268</v>
      </c>
      <c r="E131" s="3" t="str">
        <f>"000000000016293274"</f>
        <v>000000000016293274</v>
      </c>
      <c r="F131" s="3" t="s">
        <v>16</v>
      </c>
      <c r="G131" s="3" t="s">
        <v>27</v>
      </c>
      <c r="H131" s="3" t="s">
        <v>22</v>
      </c>
      <c r="I131" s="5">
        <v>46177</v>
      </c>
      <c r="J131" s="3" t="s">
        <v>18</v>
      </c>
      <c r="K131" s="3" t="s">
        <v>154</v>
      </c>
      <c r="L131" s="3" t="s">
        <v>20</v>
      </c>
      <c r="M131" s="6" t="s">
        <v>200</v>
      </c>
      <c r="N131" s="6"/>
    </row>
    <row r="132" spans="1:14" ht="27.5" thickBot="1" x14ac:dyDescent="0.3">
      <c r="A132" s="3" t="s">
        <v>14</v>
      </c>
      <c r="B132" s="3" t="s">
        <v>147</v>
      </c>
      <c r="C132" s="4">
        <v>46204</v>
      </c>
      <c r="D132" s="3" t="str">
        <f>"000300271484"</f>
        <v>000300271484</v>
      </c>
      <c r="E132" s="3" t="str">
        <f>"000000000016380096"</f>
        <v>000000000016380096</v>
      </c>
      <c r="F132" s="3" t="s">
        <v>16</v>
      </c>
      <c r="G132" s="3" t="s">
        <v>22</v>
      </c>
      <c r="H132" s="3" t="s">
        <v>22</v>
      </c>
      <c r="I132" s="5">
        <v>46195</v>
      </c>
      <c r="J132" s="3" t="s">
        <v>18</v>
      </c>
      <c r="K132" s="3" t="s">
        <v>155</v>
      </c>
      <c r="L132" s="3" t="s">
        <v>20</v>
      </c>
      <c r="M132" s="6" t="s">
        <v>200</v>
      </c>
      <c r="N132" s="6"/>
    </row>
    <row r="133" spans="1:14" ht="41" thickBot="1" x14ac:dyDescent="0.3">
      <c r="A133" s="3" t="s">
        <v>14</v>
      </c>
      <c r="B133" s="3" t="s">
        <v>147</v>
      </c>
      <c r="C133" s="4">
        <v>46204</v>
      </c>
      <c r="D133" s="3" t="str">
        <f>"000300272928"</f>
        <v>000300272928</v>
      </c>
      <c r="E133" s="3" t="str">
        <f>"000000000016473388"</f>
        <v>000000000016473388</v>
      </c>
      <c r="F133" s="3" t="s">
        <v>16</v>
      </c>
      <c r="G133" s="3" t="s">
        <v>27</v>
      </c>
      <c r="H133" s="3" t="s">
        <v>22</v>
      </c>
      <c r="I133" s="5">
        <v>46191</v>
      </c>
      <c r="J133" s="3" t="s">
        <v>18</v>
      </c>
      <c r="K133" s="3" t="s">
        <v>156</v>
      </c>
      <c r="L133" s="3" t="s">
        <v>20</v>
      </c>
      <c r="M133" s="6" t="s">
        <v>200</v>
      </c>
      <c r="N133" s="6"/>
    </row>
    <row r="134" spans="1:14" ht="41" thickBot="1" x14ac:dyDescent="0.3">
      <c r="A134" s="3" t="s">
        <v>14</v>
      </c>
      <c r="B134" s="3" t="s">
        <v>157</v>
      </c>
      <c r="C134" s="4">
        <v>46204</v>
      </c>
      <c r="D134" s="3" t="str">
        <f>"000300268711"</f>
        <v>000300268711</v>
      </c>
      <c r="E134" s="3" t="str">
        <f>"000000000016481402"</f>
        <v>000000000016481402</v>
      </c>
      <c r="F134" s="3" t="s">
        <v>16</v>
      </c>
      <c r="G134" s="3" t="s">
        <v>27</v>
      </c>
      <c r="H134" s="3" t="s">
        <v>22</v>
      </c>
      <c r="I134" s="5">
        <v>46185</v>
      </c>
      <c r="J134" s="3" t="s">
        <v>18</v>
      </c>
      <c r="K134" s="3" t="s">
        <v>158</v>
      </c>
      <c r="L134" s="3" t="s">
        <v>20</v>
      </c>
      <c r="M134" s="6" t="s">
        <v>200</v>
      </c>
      <c r="N134" s="6"/>
    </row>
    <row r="135" spans="1:14" ht="68" thickBot="1" x14ac:dyDescent="0.3">
      <c r="A135" s="3" t="s">
        <v>14</v>
      </c>
      <c r="B135" s="3" t="s">
        <v>157</v>
      </c>
      <c r="C135" s="4">
        <v>46204</v>
      </c>
      <c r="D135" s="3" t="str">
        <f>"000300270289"</f>
        <v>000300270289</v>
      </c>
      <c r="E135" s="3" t="str">
        <f>"000000000016548612"</f>
        <v>000000000016548612</v>
      </c>
      <c r="F135" s="3" t="s">
        <v>16</v>
      </c>
      <c r="G135" s="3" t="s">
        <v>27</v>
      </c>
      <c r="H135" s="3" t="s">
        <v>22</v>
      </c>
      <c r="I135" s="5">
        <v>46185</v>
      </c>
      <c r="J135" s="3" t="s">
        <v>18</v>
      </c>
      <c r="K135" s="3" t="s">
        <v>159</v>
      </c>
      <c r="L135" s="3" t="s">
        <v>20</v>
      </c>
      <c r="M135" s="6" t="s">
        <v>200</v>
      </c>
      <c r="N135" s="6"/>
    </row>
    <row r="136" spans="1:14" ht="54.5" thickBot="1" x14ac:dyDescent="0.3">
      <c r="A136" s="3" t="s">
        <v>14</v>
      </c>
      <c r="B136" s="3" t="s">
        <v>157</v>
      </c>
      <c r="C136" s="4">
        <v>46204</v>
      </c>
      <c r="D136" s="3" t="str">
        <f>"000300271117"</f>
        <v>000300271117</v>
      </c>
      <c r="E136" s="3" t="str">
        <f>"000000000016507665"</f>
        <v>000000000016507665</v>
      </c>
      <c r="F136" s="3" t="s">
        <v>16</v>
      </c>
      <c r="G136" s="3" t="s">
        <v>27</v>
      </c>
      <c r="H136" s="3" t="s">
        <v>22</v>
      </c>
      <c r="I136" s="5">
        <v>46191</v>
      </c>
      <c r="J136" s="3" t="s">
        <v>18</v>
      </c>
      <c r="K136" s="3" t="s">
        <v>160</v>
      </c>
      <c r="L136" s="3" t="s">
        <v>20</v>
      </c>
      <c r="M136" s="6" t="s">
        <v>200</v>
      </c>
      <c r="N136" s="6"/>
    </row>
    <row r="137" spans="1:14" ht="41" thickBot="1" x14ac:dyDescent="0.3">
      <c r="A137" s="3" t="s">
        <v>14</v>
      </c>
      <c r="B137" s="3" t="s">
        <v>157</v>
      </c>
      <c r="C137" s="4">
        <v>46204</v>
      </c>
      <c r="D137" s="3" t="str">
        <f>"000300271120"</f>
        <v>000300271120</v>
      </c>
      <c r="E137" s="3" t="str">
        <f>"000000000016507665"</f>
        <v>000000000016507665</v>
      </c>
      <c r="F137" s="3" t="s">
        <v>16</v>
      </c>
      <c r="G137" s="3" t="s">
        <v>27</v>
      </c>
      <c r="H137" s="3" t="s">
        <v>22</v>
      </c>
      <c r="I137" s="5">
        <v>46202</v>
      </c>
      <c r="J137" s="3" t="s">
        <v>18</v>
      </c>
      <c r="K137" s="3" t="s">
        <v>161</v>
      </c>
      <c r="L137" s="3" t="s">
        <v>20</v>
      </c>
      <c r="M137" s="6" t="s">
        <v>200</v>
      </c>
      <c r="N137" s="6"/>
    </row>
    <row r="138" spans="1:14" ht="41" thickBot="1" x14ac:dyDescent="0.3">
      <c r="A138" s="3" t="s">
        <v>14</v>
      </c>
      <c r="B138" s="3" t="s">
        <v>157</v>
      </c>
      <c r="C138" s="4">
        <v>46204</v>
      </c>
      <c r="D138" s="3" t="str">
        <f>"000300271811"</f>
        <v>000300271811</v>
      </c>
      <c r="E138" s="3" t="str">
        <f>"000000000016507630"</f>
        <v>000000000016507630</v>
      </c>
      <c r="F138" s="3" t="s">
        <v>16</v>
      </c>
      <c r="G138" s="3" t="s">
        <v>27</v>
      </c>
      <c r="H138" s="3" t="s">
        <v>25</v>
      </c>
      <c r="I138" s="5">
        <v>46202</v>
      </c>
      <c r="J138" s="3" t="s">
        <v>18</v>
      </c>
      <c r="K138" s="3" t="s">
        <v>161</v>
      </c>
      <c r="L138" s="3" t="s">
        <v>20</v>
      </c>
      <c r="M138" s="6" t="s">
        <v>200</v>
      </c>
      <c r="N138" s="6"/>
    </row>
    <row r="139" spans="1:14" ht="41" thickBot="1" x14ac:dyDescent="0.3">
      <c r="A139" s="3" t="s">
        <v>14</v>
      </c>
      <c r="B139" s="3" t="s">
        <v>157</v>
      </c>
      <c r="C139" s="4">
        <v>46235</v>
      </c>
      <c r="D139" s="3" t="str">
        <f>"000300273315"</f>
        <v>000300273315</v>
      </c>
      <c r="E139" s="3" t="str">
        <f>"000000000015775615"</f>
        <v>000000000015775615</v>
      </c>
      <c r="F139" s="3" t="s">
        <v>16</v>
      </c>
      <c r="G139" s="3" t="s">
        <v>22</v>
      </c>
      <c r="H139" s="3" t="s">
        <v>22</v>
      </c>
      <c r="I139" s="5">
        <v>46205</v>
      </c>
      <c r="J139" s="3" t="s">
        <v>18</v>
      </c>
      <c r="K139" s="3" t="s">
        <v>162</v>
      </c>
      <c r="L139" s="3" t="s">
        <v>20</v>
      </c>
      <c r="M139" s="6" t="s">
        <v>200</v>
      </c>
      <c r="N139" s="6"/>
    </row>
    <row r="140" spans="1:14" ht="41" thickBot="1" x14ac:dyDescent="0.3">
      <c r="A140" s="3" t="s">
        <v>14</v>
      </c>
      <c r="B140" s="3" t="s">
        <v>163</v>
      </c>
      <c r="C140" s="4">
        <v>46204</v>
      </c>
      <c r="D140" s="3" t="str">
        <f>"000300269765"</f>
        <v>000300269765</v>
      </c>
      <c r="E140" s="3" t="str">
        <f>"000000000015775496"</f>
        <v>000000000015775496</v>
      </c>
      <c r="F140" s="3" t="s">
        <v>16</v>
      </c>
      <c r="G140" s="3" t="s">
        <v>17</v>
      </c>
      <c r="H140" s="3" t="s">
        <v>164</v>
      </c>
      <c r="I140" s="5">
        <v>46181</v>
      </c>
      <c r="J140" s="3" t="s">
        <v>18</v>
      </c>
      <c r="K140" s="3" t="s">
        <v>165</v>
      </c>
      <c r="L140" s="3" t="s">
        <v>20</v>
      </c>
      <c r="M140" s="6" t="s">
        <v>204</v>
      </c>
      <c r="N140" s="6"/>
    </row>
    <row r="141" spans="1:14" ht="81.5" thickBot="1" x14ac:dyDescent="0.3">
      <c r="A141" s="3" t="s">
        <v>14</v>
      </c>
      <c r="B141" s="3" t="s">
        <v>163</v>
      </c>
      <c r="C141" s="4">
        <v>46204</v>
      </c>
      <c r="D141" s="3" t="str">
        <f>"000300272211"</f>
        <v>000300272211</v>
      </c>
      <c r="E141" s="3" t="str">
        <f>"000000000016508971"</f>
        <v>000000000016508971</v>
      </c>
      <c r="F141" s="3" t="s">
        <v>16</v>
      </c>
      <c r="G141" s="3" t="s">
        <v>21</v>
      </c>
      <c r="H141" s="3" t="s">
        <v>126</v>
      </c>
      <c r="I141" s="5">
        <v>46189</v>
      </c>
      <c r="J141" s="3" t="s">
        <v>18</v>
      </c>
      <c r="K141" s="3" t="s">
        <v>166</v>
      </c>
      <c r="L141" s="3" t="s">
        <v>20</v>
      </c>
      <c r="M141" s="6" t="s">
        <v>200</v>
      </c>
      <c r="N141" s="6"/>
    </row>
    <row r="142" spans="1:14" ht="81.5" thickBot="1" x14ac:dyDescent="0.3">
      <c r="A142" s="3" t="s">
        <v>14</v>
      </c>
      <c r="B142" s="3" t="s">
        <v>163</v>
      </c>
      <c r="C142" s="4">
        <v>46204</v>
      </c>
      <c r="D142" s="3" t="str">
        <f>"000300272946"</f>
        <v>000300272946</v>
      </c>
      <c r="E142" s="3" t="str">
        <f>"000000000015774112"</f>
        <v>000000000015774112</v>
      </c>
      <c r="F142" s="3" t="s">
        <v>16</v>
      </c>
      <c r="G142" s="3" t="s">
        <v>17</v>
      </c>
      <c r="H142" s="3" t="s">
        <v>126</v>
      </c>
      <c r="I142" s="5">
        <v>46189</v>
      </c>
      <c r="J142" s="3" t="s">
        <v>18</v>
      </c>
      <c r="K142" s="3" t="s">
        <v>166</v>
      </c>
      <c r="L142" s="3" t="s">
        <v>20</v>
      </c>
      <c r="M142" s="6" t="s">
        <v>200</v>
      </c>
      <c r="N142" s="6"/>
    </row>
    <row r="143" spans="1:14" ht="54.5" thickBot="1" x14ac:dyDescent="0.3">
      <c r="A143" s="3" t="s">
        <v>14</v>
      </c>
      <c r="B143" s="3" t="s">
        <v>167</v>
      </c>
      <c r="C143" s="4">
        <v>46204</v>
      </c>
      <c r="D143" s="3" t="str">
        <f>"000300271115"</f>
        <v>000300271115</v>
      </c>
      <c r="E143" s="3" t="str">
        <f>"000000000016292987"</f>
        <v>000000000016292987</v>
      </c>
      <c r="F143" s="3" t="s">
        <v>16</v>
      </c>
      <c r="G143" s="3" t="s">
        <v>27</v>
      </c>
      <c r="H143" s="3" t="s">
        <v>21</v>
      </c>
      <c r="I143" s="5">
        <v>46195</v>
      </c>
      <c r="J143" s="3" t="s">
        <v>18</v>
      </c>
      <c r="K143" s="3" t="s">
        <v>168</v>
      </c>
      <c r="L143" s="3" t="s">
        <v>20</v>
      </c>
      <c r="M143" s="6" t="s">
        <v>200</v>
      </c>
      <c r="N143" s="6"/>
    </row>
    <row r="144" spans="1:14" ht="81.5" thickBot="1" x14ac:dyDescent="0.3">
      <c r="A144" s="3" t="s">
        <v>14</v>
      </c>
      <c r="B144" s="3" t="s">
        <v>169</v>
      </c>
      <c r="C144" s="4">
        <v>46204</v>
      </c>
      <c r="D144" s="3" t="str">
        <f>"000300270963"</f>
        <v>000300270963</v>
      </c>
      <c r="E144" s="3" t="str">
        <f>"000000000016346408"</f>
        <v>000000000016346408</v>
      </c>
      <c r="F144" s="3" t="s">
        <v>16</v>
      </c>
      <c r="G144" s="3" t="s">
        <v>27</v>
      </c>
      <c r="H144" s="3" t="s">
        <v>17</v>
      </c>
      <c r="I144" s="5">
        <v>46198</v>
      </c>
      <c r="J144" s="3" t="s">
        <v>18</v>
      </c>
      <c r="K144" s="3" t="s">
        <v>170</v>
      </c>
      <c r="L144" s="3" t="s">
        <v>20</v>
      </c>
      <c r="M144" s="6" t="s">
        <v>200</v>
      </c>
      <c r="N144" s="6"/>
    </row>
    <row r="145" spans="1:14" ht="27.5" thickBot="1" x14ac:dyDescent="0.3">
      <c r="A145" s="3" t="s">
        <v>14</v>
      </c>
      <c r="B145" s="3" t="s">
        <v>169</v>
      </c>
      <c r="C145" s="4">
        <v>46204</v>
      </c>
      <c r="D145" s="3" t="str">
        <f>"000300270964"</f>
        <v>000300270964</v>
      </c>
      <c r="E145" s="3" t="str">
        <f>"000000000016346408"</f>
        <v>000000000016346408</v>
      </c>
      <c r="F145" s="3" t="s">
        <v>16</v>
      </c>
      <c r="G145" s="3" t="s">
        <v>27</v>
      </c>
      <c r="H145" s="3" t="s">
        <v>22</v>
      </c>
      <c r="I145" s="5">
        <v>46197</v>
      </c>
      <c r="J145" s="3" t="s">
        <v>18</v>
      </c>
      <c r="K145" s="3" t="s">
        <v>171</v>
      </c>
      <c r="L145" s="3" t="s">
        <v>20</v>
      </c>
      <c r="M145" s="6" t="s">
        <v>201</v>
      </c>
      <c r="N145" s="6"/>
    </row>
    <row r="146" spans="1:14" ht="41" thickBot="1" x14ac:dyDescent="0.3">
      <c r="A146" s="3" t="s">
        <v>14</v>
      </c>
      <c r="B146" s="3" t="s">
        <v>169</v>
      </c>
      <c r="C146" s="4">
        <v>46204</v>
      </c>
      <c r="D146" s="3" t="str">
        <f>"000300272200"</f>
        <v>000300272200</v>
      </c>
      <c r="E146" s="3" t="str">
        <f>"000000000016444949"</f>
        <v>000000000016444949</v>
      </c>
      <c r="F146" s="3" t="s">
        <v>16</v>
      </c>
      <c r="G146" s="3" t="s">
        <v>22</v>
      </c>
      <c r="H146" s="3" t="s">
        <v>22</v>
      </c>
      <c r="I146" s="5">
        <v>46204</v>
      </c>
      <c r="J146" s="3" t="s">
        <v>28</v>
      </c>
      <c r="K146" s="3" t="s">
        <v>172</v>
      </c>
      <c r="L146" s="3" t="s">
        <v>20</v>
      </c>
      <c r="M146" s="6" t="s">
        <v>201</v>
      </c>
      <c r="N146" s="6"/>
    </row>
    <row r="147" spans="1:14" ht="27.5" thickBot="1" x14ac:dyDescent="0.3">
      <c r="A147" s="3" t="s">
        <v>14</v>
      </c>
      <c r="B147" s="3" t="s">
        <v>169</v>
      </c>
      <c r="C147" s="4">
        <v>46204</v>
      </c>
      <c r="D147" s="3" t="str">
        <f>"000300272201"</f>
        <v>000300272201</v>
      </c>
      <c r="E147" s="3" t="str">
        <f>"000000000016444949"</f>
        <v>000000000016444949</v>
      </c>
      <c r="F147" s="3" t="s">
        <v>16</v>
      </c>
      <c r="G147" s="3" t="s">
        <v>22</v>
      </c>
      <c r="H147" s="3" t="s">
        <v>22</v>
      </c>
      <c r="I147" s="5">
        <v>46204</v>
      </c>
      <c r="J147" s="3" t="s">
        <v>71</v>
      </c>
      <c r="K147" s="3" t="s">
        <v>173</v>
      </c>
      <c r="L147" s="3" t="s">
        <v>20</v>
      </c>
      <c r="M147" s="6" t="s">
        <v>201</v>
      </c>
      <c r="N147" s="6"/>
    </row>
    <row r="148" spans="1:14" ht="41" thickBot="1" x14ac:dyDescent="0.3">
      <c r="A148" s="3" t="s">
        <v>14</v>
      </c>
      <c r="B148" s="3" t="s">
        <v>169</v>
      </c>
      <c r="C148" s="4">
        <v>46204</v>
      </c>
      <c r="D148" s="3" t="str">
        <f>"000300272202"</f>
        <v>000300272202</v>
      </c>
      <c r="E148" s="3" t="str">
        <f>"000000000016444949"</f>
        <v>000000000016444949</v>
      </c>
      <c r="F148" s="3" t="s">
        <v>16</v>
      </c>
      <c r="G148" s="3" t="s">
        <v>22</v>
      </c>
      <c r="H148" s="3" t="s">
        <v>22</v>
      </c>
      <c r="I148" s="5">
        <v>46205</v>
      </c>
      <c r="J148" s="3" t="s">
        <v>28</v>
      </c>
      <c r="K148" s="3" t="s">
        <v>172</v>
      </c>
      <c r="L148" s="3" t="s">
        <v>20</v>
      </c>
      <c r="M148" s="6" t="s">
        <v>201</v>
      </c>
      <c r="N148" s="6"/>
    </row>
    <row r="149" spans="1:14" ht="41" thickBot="1" x14ac:dyDescent="0.3">
      <c r="A149" s="3" t="s">
        <v>14</v>
      </c>
      <c r="B149" s="3" t="s">
        <v>169</v>
      </c>
      <c r="C149" s="4">
        <v>46204</v>
      </c>
      <c r="D149" s="3" t="str">
        <f>"000300273667"</f>
        <v>000300273667</v>
      </c>
      <c r="E149" s="3" t="str">
        <f>"000000000016444710"</f>
        <v>000000000016444710</v>
      </c>
      <c r="F149" s="3" t="s">
        <v>16</v>
      </c>
      <c r="G149" s="3" t="s">
        <v>22</v>
      </c>
      <c r="H149" s="3" t="s">
        <v>22</v>
      </c>
      <c r="I149" s="5">
        <v>46203</v>
      </c>
      <c r="J149" s="3" t="s">
        <v>71</v>
      </c>
      <c r="K149" s="3" t="s">
        <v>174</v>
      </c>
      <c r="L149" s="3" t="s">
        <v>20</v>
      </c>
      <c r="M149" s="6" t="s">
        <v>201</v>
      </c>
      <c r="N149" s="6"/>
    </row>
    <row r="150" spans="1:14" ht="81.5" thickBot="1" x14ac:dyDescent="0.3">
      <c r="A150" s="3" t="s">
        <v>14</v>
      </c>
      <c r="B150" s="3" t="s">
        <v>175</v>
      </c>
      <c r="C150" s="4">
        <v>46204</v>
      </c>
      <c r="D150" s="3" t="str">
        <f>"000300271094"</f>
        <v>000300271094</v>
      </c>
      <c r="E150" s="3" t="str">
        <f>"000000000016292898"</f>
        <v>000000000016292898</v>
      </c>
      <c r="F150" s="3" t="s">
        <v>16</v>
      </c>
      <c r="G150" s="3" t="s">
        <v>27</v>
      </c>
      <c r="H150" s="3" t="s">
        <v>25</v>
      </c>
      <c r="I150" s="5">
        <v>46191</v>
      </c>
      <c r="J150" s="3" t="s">
        <v>18</v>
      </c>
      <c r="K150" s="3" t="s">
        <v>176</v>
      </c>
      <c r="L150" s="3" t="s">
        <v>20</v>
      </c>
      <c r="M150" s="6" t="s">
        <v>200</v>
      </c>
      <c r="N150" s="6"/>
    </row>
    <row r="151" spans="1:14" ht="27.5" thickBot="1" x14ac:dyDescent="0.3">
      <c r="A151" s="3" t="s">
        <v>14</v>
      </c>
      <c r="B151" s="3" t="s">
        <v>177</v>
      </c>
      <c r="C151" s="4">
        <v>46174</v>
      </c>
      <c r="D151" s="3" t="str">
        <f>"000300262809"</f>
        <v>000300262809</v>
      </c>
      <c r="E151" s="3" t="str">
        <f>"000000000016371488"</f>
        <v>000000000016371488</v>
      </c>
      <c r="F151" s="3" t="s">
        <v>16</v>
      </c>
      <c r="G151" s="3" t="s">
        <v>27</v>
      </c>
      <c r="H151" s="3" t="s">
        <v>25</v>
      </c>
      <c r="I151" s="5">
        <v>46183</v>
      </c>
      <c r="J151" s="3" t="s">
        <v>41</v>
      </c>
      <c r="K151" s="3" t="s">
        <v>178</v>
      </c>
      <c r="L151" s="3" t="s">
        <v>20</v>
      </c>
      <c r="M151" s="6" t="s">
        <v>204</v>
      </c>
      <c r="N151" s="6"/>
    </row>
    <row r="152" spans="1:14" ht="27.5" thickBot="1" x14ac:dyDescent="0.3">
      <c r="A152" s="3" t="s">
        <v>14</v>
      </c>
      <c r="B152" s="3" t="s">
        <v>177</v>
      </c>
      <c r="C152" s="4">
        <v>46174</v>
      </c>
      <c r="D152" s="3" t="str">
        <f>"000300262809"</f>
        <v>000300262809</v>
      </c>
      <c r="E152" s="3" t="str">
        <f>"000000000016371488"</f>
        <v>000000000016371488</v>
      </c>
      <c r="F152" s="3" t="s">
        <v>16</v>
      </c>
      <c r="G152" s="3" t="s">
        <v>27</v>
      </c>
      <c r="H152" s="3" t="s">
        <v>25</v>
      </c>
      <c r="I152" s="5">
        <v>46183</v>
      </c>
      <c r="J152" s="3" t="s">
        <v>34</v>
      </c>
      <c r="K152" s="3" t="s">
        <v>179</v>
      </c>
      <c r="L152" s="3" t="s">
        <v>20</v>
      </c>
      <c r="M152" s="6" t="s">
        <v>204</v>
      </c>
      <c r="N152" s="6"/>
    </row>
    <row r="153" spans="1:14" ht="27.5" thickBot="1" x14ac:dyDescent="0.3">
      <c r="A153" s="3" t="s">
        <v>14</v>
      </c>
      <c r="B153" s="3" t="s">
        <v>177</v>
      </c>
      <c r="C153" s="4">
        <v>46174</v>
      </c>
      <c r="D153" s="3" t="str">
        <f>"000300262809"</f>
        <v>000300262809</v>
      </c>
      <c r="E153" s="3" t="str">
        <f>"000000000016371488"</f>
        <v>000000000016371488</v>
      </c>
      <c r="F153" s="3" t="s">
        <v>16</v>
      </c>
      <c r="G153" s="3" t="s">
        <v>27</v>
      </c>
      <c r="H153" s="3" t="s">
        <v>25</v>
      </c>
      <c r="I153" s="5">
        <v>46183</v>
      </c>
      <c r="J153" s="3" t="s">
        <v>180</v>
      </c>
      <c r="K153" s="3" t="s">
        <v>181</v>
      </c>
      <c r="L153" s="3" t="s">
        <v>20</v>
      </c>
      <c r="M153" s="6" t="s">
        <v>202</v>
      </c>
      <c r="N153" s="6"/>
    </row>
    <row r="154" spans="1:14" ht="41" thickBot="1" x14ac:dyDescent="0.3">
      <c r="A154" s="3" t="s">
        <v>14</v>
      </c>
      <c r="B154" s="3" t="s">
        <v>182</v>
      </c>
      <c r="C154" s="4">
        <v>46204</v>
      </c>
      <c r="D154" s="3" t="str">
        <f>"000300263684"</f>
        <v>000300263684</v>
      </c>
      <c r="E154" s="3" t="str">
        <f>"000000000016474090"</f>
        <v>000000000016474090</v>
      </c>
      <c r="F154" s="3" t="s">
        <v>16</v>
      </c>
      <c r="G154" s="3" t="s">
        <v>27</v>
      </c>
      <c r="H154" s="3" t="s">
        <v>22</v>
      </c>
      <c r="I154" s="5">
        <v>46184</v>
      </c>
      <c r="J154" s="3" t="s">
        <v>28</v>
      </c>
      <c r="K154" s="3" t="s">
        <v>183</v>
      </c>
      <c r="L154" s="3" t="s">
        <v>20</v>
      </c>
      <c r="M154" s="6" t="s">
        <v>201</v>
      </c>
      <c r="N154" s="6"/>
    </row>
    <row r="155" spans="1:14" ht="41" thickBot="1" x14ac:dyDescent="0.3">
      <c r="A155" s="3" t="s">
        <v>14</v>
      </c>
      <c r="B155" s="3" t="s">
        <v>182</v>
      </c>
      <c r="C155" s="4">
        <v>46204</v>
      </c>
      <c r="D155" s="3" t="str">
        <f>"000300271808"</f>
        <v>000300271808</v>
      </c>
      <c r="E155" s="3" t="str">
        <f>"000000000016436202"</f>
        <v>000000000016436202</v>
      </c>
      <c r="F155" s="3" t="s">
        <v>16</v>
      </c>
      <c r="G155" s="3" t="s">
        <v>27</v>
      </c>
      <c r="H155" s="3" t="s">
        <v>25</v>
      </c>
      <c r="I155" s="5">
        <v>46202</v>
      </c>
      <c r="J155" s="3" t="s">
        <v>18</v>
      </c>
      <c r="K155" s="3" t="s">
        <v>184</v>
      </c>
      <c r="L155" s="3" t="s">
        <v>20</v>
      </c>
      <c r="M155" s="6" t="s">
        <v>201</v>
      </c>
      <c r="N155" s="6"/>
    </row>
    <row r="156" spans="1:14" ht="27.5" thickBot="1" x14ac:dyDescent="0.3">
      <c r="A156" s="3" t="s">
        <v>14</v>
      </c>
      <c r="B156" s="3" t="s">
        <v>185</v>
      </c>
      <c r="C156" s="4">
        <v>46204</v>
      </c>
      <c r="D156" s="3" t="str">
        <f>"000300268647"</f>
        <v>000300268647</v>
      </c>
      <c r="E156" s="3" t="str">
        <f>"000000000015775623"</f>
        <v>000000000015775623</v>
      </c>
      <c r="F156" s="3" t="s">
        <v>16</v>
      </c>
      <c r="G156" s="3" t="s">
        <v>27</v>
      </c>
      <c r="H156" s="3" t="s">
        <v>17</v>
      </c>
      <c r="I156" s="5">
        <v>46190</v>
      </c>
      <c r="J156" s="3" t="s">
        <v>18</v>
      </c>
      <c r="K156" s="3" t="s">
        <v>186</v>
      </c>
      <c r="L156" s="3" t="s">
        <v>20</v>
      </c>
      <c r="M156" s="6" t="s">
        <v>200</v>
      </c>
      <c r="N156" s="6"/>
    </row>
    <row r="157" spans="1:14" ht="27.5" thickBot="1" x14ac:dyDescent="0.3">
      <c r="A157" s="3" t="s">
        <v>14</v>
      </c>
      <c r="B157" s="3" t="s">
        <v>185</v>
      </c>
      <c r="C157" s="4">
        <v>46204</v>
      </c>
      <c r="D157" s="3" t="str">
        <f>"000300271101"</f>
        <v>000300271101</v>
      </c>
      <c r="E157" s="3" t="str">
        <f>"000000000016292987"</f>
        <v>000000000016292987</v>
      </c>
      <c r="F157" s="3" t="s">
        <v>16</v>
      </c>
      <c r="G157" s="3" t="s">
        <v>27</v>
      </c>
      <c r="H157" s="3" t="s">
        <v>22</v>
      </c>
      <c r="I157" s="5">
        <v>46190</v>
      </c>
      <c r="J157" s="3" t="s">
        <v>18</v>
      </c>
      <c r="K157" s="3" t="s">
        <v>187</v>
      </c>
      <c r="L157" s="3" t="s">
        <v>20</v>
      </c>
      <c r="M157" s="6" t="s">
        <v>200</v>
      </c>
      <c r="N157" s="6"/>
    </row>
    <row r="158" spans="1:14" ht="27.5" thickBot="1" x14ac:dyDescent="0.3">
      <c r="A158" s="3" t="s">
        <v>14</v>
      </c>
      <c r="B158" s="3" t="s">
        <v>185</v>
      </c>
      <c r="C158" s="4">
        <v>46204</v>
      </c>
      <c r="D158" s="3" t="str">
        <f>"000300271763"</f>
        <v>000300271763</v>
      </c>
      <c r="E158" s="3" t="str">
        <f>"000000000016273303"</f>
        <v>000000000016273303</v>
      </c>
      <c r="F158" s="3" t="s">
        <v>16</v>
      </c>
      <c r="G158" s="3" t="s">
        <v>27</v>
      </c>
      <c r="H158" s="3" t="s">
        <v>22</v>
      </c>
      <c r="I158" s="5">
        <v>46190</v>
      </c>
      <c r="J158" s="3" t="s">
        <v>18</v>
      </c>
      <c r="K158" s="3" t="s">
        <v>188</v>
      </c>
      <c r="L158" s="3" t="s">
        <v>20</v>
      </c>
      <c r="M158" s="6" t="s">
        <v>200</v>
      </c>
      <c r="N158" s="6"/>
    </row>
    <row r="159" spans="1:14" ht="27.5" thickBot="1" x14ac:dyDescent="0.3">
      <c r="A159" s="3" t="s">
        <v>14</v>
      </c>
      <c r="B159" s="3" t="s">
        <v>185</v>
      </c>
      <c r="C159" s="4">
        <v>46204</v>
      </c>
      <c r="D159" s="3" t="str">
        <f>"000300271764"</f>
        <v>000300271764</v>
      </c>
      <c r="E159" s="3" t="str">
        <f>"000000000016273303"</f>
        <v>000000000016273303</v>
      </c>
      <c r="F159" s="3" t="s">
        <v>16</v>
      </c>
      <c r="G159" s="3" t="s">
        <v>27</v>
      </c>
      <c r="H159" s="3" t="s">
        <v>25</v>
      </c>
      <c r="I159" s="5">
        <v>46190</v>
      </c>
      <c r="J159" s="3" t="s">
        <v>18</v>
      </c>
      <c r="K159" s="3" t="s">
        <v>189</v>
      </c>
      <c r="L159" s="3" t="s">
        <v>20</v>
      </c>
      <c r="M159" s="6" t="s">
        <v>200</v>
      </c>
      <c r="N159" s="6"/>
    </row>
    <row r="160" spans="1:14" ht="27.5" thickBot="1" x14ac:dyDescent="0.3">
      <c r="A160" s="3" t="s">
        <v>14</v>
      </c>
      <c r="B160" s="3" t="s">
        <v>190</v>
      </c>
      <c r="C160" s="4">
        <v>46204</v>
      </c>
      <c r="D160" s="3" t="str">
        <f>"000300273028"</f>
        <v>000300273028</v>
      </c>
      <c r="E160" s="3" t="str">
        <f>"000000000015467783"</f>
        <v>000000000015467783</v>
      </c>
      <c r="F160" s="3" t="s">
        <v>16</v>
      </c>
      <c r="G160" s="3" t="s">
        <v>27</v>
      </c>
      <c r="H160" s="3" t="s">
        <v>22</v>
      </c>
      <c r="I160" s="5">
        <v>46198</v>
      </c>
      <c r="J160" s="3" t="s">
        <v>18</v>
      </c>
      <c r="K160" s="3" t="s">
        <v>191</v>
      </c>
      <c r="L160" s="3" t="s">
        <v>20</v>
      </c>
      <c r="M160" s="6" t="s">
        <v>201</v>
      </c>
      <c r="N160" s="6"/>
    </row>
    <row r="161" spans="1:14" ht="27.5" thickBot="1" x14ac:dyDescent="0.3">
      <c r="A161" s="3" t="s">
        <v>14</v>
      </c>
      <c r="B161" s="3" t="s">
        <v>190</v>
      </c>
      <c r="C161" s="4">
        <v>46204</v>
      </c>
      <c r="D161" s="3" t="str">
        <f>"000300274418"</f>
        <v>000300274418</v>
      </c>
      <c r="E161" s="3" t="str">
        <f>"000000000016441656"</f>
        <v>000000000016441656</v>
      </c>
      <c r="F161" s="3" t="s">
        <v>16</v>
      </c>
      <c r="G161" s="3" t="s">
        <v>27</v>
      </c>
      <c r="H161" s="3" t="s">
        <v>22</v>
      </c>
      <c r="I161" s="5">
        <v>46198</v>
      </c>
      <c r="J161" s="3" t="s">
        <v>28</v>
      </c>
      <c r="K161" s="3" t="s">
        <v>192</v>
      </c>
      <c r="L161" s="3" t="s">
        <v>20</v>
      </c>
      <c r="M161" s="6" t="s">
        <v>201</v>
      </c>
      <c r="N161" s="6"/>
    </row>
    <row r="162" spans="1:14" ht="41" thickBot="1" x14ac:dyDescent="0.3">
      <c r="A162" s="3" t="s">
        <v>14</v>
      </c>
      <c r="B162" s="3" t="s">
        <v>190</v>
      </c>
      <c r="C162" s="4">
        <v>46204</v>
      </c>
      <c r="D162" s="3" t="str">
        <f>"000300275774"</f>
        <v>000300275774</v>
      </c>
      <c r="E162" s="3" t="str">
        <f>"000000000016223462"</f>
        <v>000000000016223462</v>
      </c>
      <c r="F162" s="3" t="s">
        <v>16</v>
      </c>
      <c r="G162" s="3" t="s">
        <v>27</v>
      </c>
      <c r="H162" s="3" t="s">
        <v>25</v>
      </c>
      <c r="I162" s="5">
        <v>46198</v>
      </c>
      <c r="J162" s="3" t="s">
        <v>18</v>
      </c>
      <c r="K162" s="3" t="s">
        <v>193</v>
      </c>
      <c r="L162" s="3" t="s">
        <v>20</v>
      </c>
      <c r="M162" s="6" t="s">
        <v>200</v>
      </c>
      <c r="N162" s="6"/>
    </row>
    <row r="163" spans="1:14" ht="27.5" thickBot="1" x14ac:dyDescent="0.3">
      <c r="A163" s="3" t="s">
        <v>14</v>
      </c>
      <c r="B163" s="3" t="s">
        <v>190</v>
      </c>
      <c r="C163" s="4">
        <v>46235</v>
      </c>
      <c r="D163" s="3" t="str">
        <f>"000300275978"</f>
        <v>000300275978</v>
      </c>
      <c r="E163" s="3" t="str">
        <f>"000000000016222857"</f>
        <v>000000000016222857</v>
      </c>
      <c r="F163" s="3" t="s">
        <v>16</v>
      </c>
      <c r="G163" s="3" t="s">
        <v>17</v>
      </c>
      <c r="H163" s="3" t="s">
        <v>25</v>
      </c>
      <c r="I163" s="5">
        <v>46204</v>
      </c>
      <c r="J163" s="3" t="s">
        <v>18</v>
      </c>
      <c r="K163" s="3" t="s">
        <v>194</v>
      </c>
      <c r="L163" s="3" t="s">
        <v>20</v>
      </c>
      <c r="M163" s="6" t="s">
        <v>201</v>
      </c>
      <c r="N163" s="6"/>
    </row>
    <row r="164" spans="1:14" ht="41" thickBot="1" x14ac:dyDescent="0.3">
      <c r="A164" s="3" t="s">
        <v>14</v>
      </c>
      <c r="B164" s="3" t="s">
        <v>195</v>
      </c>
      <c r="C164" s="4">
        <v>46204</v>
      </c>
      <c r="D164" s="3" t="str">
        <f>"000300272276"</f>
        <v>000300272276</v>
      </c>
      <c r="E164" s="3" t="str">
        <f>"000000000016487494"</f>
        <v>000000000016487494</v>
      </c>
      <c r="F164" s="3" t="s">
        <v>16</v>
      </c>
      <c r="G164" s="3" t="s">
        <v>27</v>
      </c>
      <c r="H164" s="3" t="s">
        <v>126</v>
      </c>
      <c r="I164" s="5">
        <v>46189</v>
      </c>
      <c r="J164" s="3" t="s">
        <v>18</v>
      </c>
      <c r="K164" s="3" t="s">
        <v>196</v>
      </c>
      <c r="L164" s="3" t="s">
        <v>20</v>
      </c>
      <c r="M164" s="6" t="s">
        <v>200</v>
      </c>
      <c r="N164" s="6"/>
    </row>
    <row r="165" spans="1:14" ht="54.5" thickBot="1" x14ac:dyDescent="0.3">
      <c r="A165" s="3" t="s">
        <v>14</v>
      </c>
      <c r="B165" s="3" t="s">
        <v>195</v>
      </c>
      <c r="C165" s="4">
        <v>46204</v>
      </c>
      <c r="D165" s="3" t="str">
        <f>"000300272640"</f>
        <v>000300272640</v>
      </c>
      <c r="E165" s="3" t="str">
        <f>"000000000016487494"</f>
        <v>000000000016487494</v>
      </c>
      <c r="F165" s="3" t="s">
        <v>16</v>
      </c>
      <c r="G165" s="3" t="s">
        <v>27</v>
      </c>
      <c r="H165" s="3" t="s">
        <v>126</v>
      </c>
      <c r="I165" s="5">
        <v>46198</v>
      </c>
      <c r="J165" s="3" t="s">
        <v>18</v>
      </c>
      <c r="K165" s="3" t="s">
        <v>197</v>
      </c>
      <c r="L165" s="3" t="s">
        <v>20</v>
      </c>
      <c r="M165" s="6" t="s">
        <v>200</v>
      </c>
      <c r="N165" s="6"/>
    </row>
    <row r="166" spans="1:14" ht="27.5" thickBot="1" x14ac:dyDescent="0.3">
      <c r="A166" s="3" t="s">
        <v>14</v>
      </c>
      <c r="B166" s="3" t="s">
        <v>198</v>
      </c>
      <c r="C166" s="4">
        <v>46204</v>
      </c>
      <c r="D166" s="3" t="str">
        <f>"000300264845"</f>
        <v>000300264845</v>
      </c>
      <c r="E166" s="3" t="str">
        <f>"000000000015773400"</f>
        <v>000000000015773400</v>
      </c>
      <c r="F166" s="3" t="s">
        <v>16</v>
      </c>
      <c r="G166" s="3" t="s">
        <v>17</v>
      </c>
      <c r="H166" s="3" t="s">
        <v>17</v>
      </c>
      <c r="I166" s="5">
        <v>46202</v>
      </c>
      <c r="J166" s="3" t="s">
        <v>18</v>
      </c>
      <c r="K166" s="3" t="s">
        <v>199</v>
      </c>
      <c r="L166" s="3" t="s">
        <v>20</v>
      </c>
      <c r="M166" s="6" t="s">
        <v>200</v>
      </c>
      <c r="N166" s="6"/>
    </row>
  </sheetData>
  <pageMargins left="0.78740157499999996" right="0.78740157499999996" top="0.984251969" bottom="0.984251969" header="0.4921259845" footer="0.4921259845"/>
</worksheet>
</file>

<file path=customXml/_rels/item1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1.xml"/></Relationships>
</file>

<file path=customXml/_rels/item2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2.xml"/></Relationships>
</file>

<file path=customXml/_rels/item3.xml.rels><?xml version="1.0" encoding="UTF-8" standalone="yes"?>
<Relationships xmlns="http://schemas.openxmlformats.org/package/2006/relationships"><Relationship Id="rId1" Type="http://schemas.openxmlformats.org/officeDocument/2006/relationships/customXmlProps" Target="itemProps3.xml"/></Relationships>
</file>

<file path=customXml/item1.xml><?xml version="1.0" encoding="utf-8"?>
<ct:contentTypeSchema xmlns:ct="http://schemas.microsoft.com/office/2006/metadata/contentType" xmlns:ma="http://schemas.microsoft.com/office/2006/metadata/properties/metaAttributes" ct:_="" ma:_="" ma:contentTypeName="Documento" ma:contentTypeID="0x0101009A5DEE6276259248A3540F0EFCFC0235" ma:contentTypeVersion="14" ma:contentTypeDescription="Crie um novo documento." ma:contentTypeScope="" ma:versionID="176fce7ab5d0a30a7d6b08377cd41bf1">
  <xsd:schema xmlns:xsd="http://www.w3.org/2001/XMLSchema" xmlns:xs="http://www.w3.org/2001/XMLSchema" xmlns:p="http://schemas.microsoft.com/office/2006/metadata/properties" xmlns:ns3="90d5e580-80cf-4cee-a276-19a2875aa6da" xmlns:ns4="1688960d-a08c-4955-8b21-d3f5d23ab1da" targetNamespace="http://schemas.microsoft.com/office/2006/metadata/properties" ma:root="true" ma:fieldsID="56416f78c8dce41e75b27e17b3b8e18b" ns3:_="" ns4:_="">
    <xsd:import namespace="90d5e580-80cf-4cee-a276-19a2875aa6da"/>
    <xsd:import namespace="1688960d-a08c-4955-8b21-d3f5d23ab1da"/>
    <xsd:element name="properties">
      <xsd:complexType>
        <xsd:sequence>
          <xsd:element name="documentManagement">
            <xsd:complexType>
              <xsd:all>
                <xsd:element ref="ns3:MediaServiceDateTaken" minOccurs="0"/>
                <xsd:element ref="ns3:_activity" minOccurs="0"/>
                <xsd:element ref="ns4:SharedWithUsers" minOccurs="0"/>
                <xsd:element ref="ns4:SharedWithDetails" minOccurs="0"/>
                <xsd:element ref="ns4:SharingHintHash" minOccurs="0"/>
                <xsd:element ref="ns3:MediaServiceMetadata" minOccurs="0"/>
                <xsd:element ref="ns3:MediaServiceFastMetadata" minOccurs="0"/>
                <xsd:element ref="ns3:MediaServiceSearchProperties" minOccurs="0"/>
                <xsd:element ref="ns3:MediaServiceObjectDetectorVersions" minOccurs="0"/>
                <xsd:element ref="ns3:MediaServiceSystemTags" minOccurs="0"/>
                <xsd:element ref="ns3:MediaServiceGenerationTime" minOccurs="0"/>
                <xsd:element ref="ns3:MediaServiceEventHashCode" minOccurs="0"/>
                <xsd:element ref="ns3:MediaLengthInSeconds" minOccurs="0"/>
                <xsd:element ref="ns3:MediaServiceOCR" minOccurs="0"/>
              </xsd:all>
            </xsd:complexType>
          </xsd:element>
        </xsd:sequence>
      </xsd:complex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90d5e580-80cf-4cee-a276-19a2875aa6da" elementFormDefault="qualified">
    <xsd:import namespace="http://schemas.microsoft.com/office/2006/documentManagement/types"/>
    <xsd:import namespace="http://schemas.microsoft.com/office/infopath/2007/PartnerControls"/>
    <xsd:element name="MediaServiceDateTaken" ma:index="8" nillable="true" ma:displayName="MediaServiceDateTaken" ma:hidden="true" ma:indexed="true" ma:internalName="MediaServiceDateTaken" ma:readOnly="true">
      <xsd:simpleType>
        <xsd:restriction base="dms:Text"/>
      </xsd:simpleType>
    </xsd:element>
    <xsd:element name="_activity" ma:index="9" nillable="true" ma:displayName="_activity" ma:hidden="true" ma:internalName="_activity">
      <xsd:simpleType>
        <xsd:restriction base="dms:Note"/>
      </xsd:simpleType>
    </xsd:element>
    <xsd:element name="MediaServiceMetadata" ma:index="13" nillable="true" ma:displayName="MediaServiceMetadata" ma:hidden="true" ma:internalName="MediaServiceMetadata" ma:readOnly="true">
      <xsd:simpleType>
        <xsd:restriction base="dms:Note"/>
      </xsd:simpleType>
    </xsd:element>
    <xsd:element name="MediaServiceFastMetadata" ma:index="14" nillable="true" ma:displayName="MediaServiceFastMetadata" ma:hidden="true" ma:internalName="MediaServiceFastMetadata" ma:readOnly="true">
      <xsd:simpleType>
        <xsd:restriction base="dms:Note"/>
      </xsd:simpleType>
    </xsd:element>
    <xsd:element name="MediaServiceSearchProperties" ma:index="15" nillable="true" ma:displayName="MediaServiceSearchProperties" ma:hidden="true" ma:internalName="MediaServiceSearchProperties" ma:readOnly="true">
      <xsd:simpleType>
        <xsd:restriction base="dms:Note"/>
      </xsd:simpleType>
    </xsd:element>
    <xsd:element name="MediaServiceObjectDetectorVersions" ma:index="16" nillable="true" ma:displayName="MediaServiceObjectDetectorVersions" ma:hidden="true" ma:indexed="true" ma:internalName="MediaServiceObjectDetectorVersions" ma:readOnly="true">
      <xsd:simpleType>
        <xsd:restriction base="dms:Text"/>
      </xsd:simpleType>
    </xsd:element>
    <xsd:element name="MediaServiceSystemTags" ma:index="17" nillable="true" ma:displayName="MediaServiceSystemTags" ma:hidden="true" ma:internalName="MediaServiceSystemTags" ma:readOnly="true">
      <xsd:simpleType>
        <xsd:restriction base="dms:Note"/>
      </xsd:simpleType>
    </xsd:element>
    <xsd:element name="MediaServiceGenerationTime" ma:index="18" nillable="true" ma:displayName="MediaServiceGenerationTime" ma:hidden="true" ma:internalName="MediaServiceGenerationTime" ma:readOnly="true">
      <xsd:simpleType>
        <xsd:restriction base="dms:Text"/>
      </xsd:simpleType>
    </xsd:element>
    <xsd:element name="MediaServiceEventHashCode" ma:index="19" nillable="true" ma:displayName="MediaServiceEventHashCode" ma:hidden="true" ma:internalName="MediaServiceEventHashCode" ma:readOnly="true">
      <xsd:simpleType>
        <xsd:restriction base="dms:Text"/>
      </xsd:simpleType>
    </xsd:element>
    <xsd:element name="MediaLengthInSeconds" ma:index="20" nillable="true" ma:displayName="MediaLengthInSeconds" ma:hidden="true" ma:internalName="MediaLengthInSeconds" ma:readOnly="true">
      <xsd:simpleType>
        <xsd:restriction base="dms:Unknown"/>
      </xsd:simpleType>
    </xsd:element>
    <xsd:element name="MediaServiceOCR" ma:index="21" nillable="true" ma:displayName="Extracted Text" ma:internalName="MediaServiceOCR" ma:readOnly="true">
      <xsd:simpleType>
        <xsd:restriction base="dms:Note">
          <xsd:maxLength value="255"/>
        </xsd:restriction>
      </xsd:simpleType>
    </xsd:element>
  </xsd:schema>
  <xsd:schema xmlns:xsd="http://www.w3.org/2001/XMLSchema" xmlns:xs="http://www.w3.org/2001/XMLSchema" xmlns:dms="http://schemas.microsoft.com/office/2006/documentManagement/types" xmlns:pc="http://schemas.microsoft.com/office/infopath/2007/PartnerControls" targetNamespace="1688960d-a08c-4955-8b21-d3f5d23ab1da" elementFormDefault="qualified">
    <xsd:import namespace="http://schemas.microsoft.com/office/2006/documentManagement/types"/>
    <xsd:import namespace="http://schemas.microsoft.com/office/infopath/2007/PartnerControls"/>
    <xsd:element name="SharedWithUsers" ma:index="10" nillable="true" ma:displayName="Compartilhado com" ma:internalName="SharedWithUsers" ma:readOnly="true">
      <xsd:complexType>
        <xsd:complexContent>
          <xsd:extension base="dms:UserMulti">
            <xsd:sequence>
              <xsd:element name="UserInfo" minOccurs="0" maxOccurs="unbounded">
                <xsd:complexType>
                  <xsd:sequence>
                    <xsd:element name="DisplayName" type="xsd:string" minOccurs="0"/>
                    <xsd:element name="AccountId" type="dms:UserId" minOccurs="0" nillable="true"/>
                    <xsd:element name="AccountType" type="xsd:string" minOccurs="0"/>
                  </xsd:sequence>
                </xsd:complexType>
              </xsd:element>
            </xsd:sequence>
          </xsd:extension>
        </xsd:complexContent>
      </xsd:complexType>
    </xsd:element>
    <xsd:element name="SharedWithDetails" ma:index="11" nillable="true" ma:displayName="Detalhes de Compartilhado Com" ma:internalName="SharedWithDetails" ma:readOnly="true">
      <xsd:simpleType>
        <xsd:restriction base="dms:Note">
          <xsd:maxLength value="255"/>
        </xsd:restriction>
      </xsd:simpleType>
    </xsd:element>
    <xsd:element name="SharingHintHash" ma:index="12" nillable="true" ma:displayName="Hash de Dica de Compartilhamento" ma:hidden="true" ma:internalName="SharingHintHash" ma:readOnly="true">
      <xsd:simpleType>
        <xsd:restriction base="dms:Text"/>
      </xsd:simpleType>
    </xsd:element>
  </xsd:schema>
  <xsd:schema xmlns="http://schemas.openxmlformats.org/package/2006/metadata/core-properties" xmlns:xsd="http://www.w3.org/2001/XMLSchema" xmlns:xsi="http://www.w3.org/2001/XMLSchema-instance" xmlns:dc="http://purl.org/dc/elements/1.1/" xmlns:dcterms="http://purl.org/dc/terms/" xmlns:odoc="http://schemas.microsoft.com/internal/obd" targetNamespace="http://schemas.openxmlformats.org/package/2006/metadata/core-properties" elementFormDefault="qualified" attributeFormDefault="unqualified" blockDefault="#all">
    <xsd:import namespace="http://purl.org/dc/elements/1.1/" schemaLocation="http://dublincore.org/schemas/xmls/qdc/2003/04/02/dc.xsd"/>
    <xsd:import namespace="http://purl.org/dc/terms/" schemaLocation="http://dublincore.org/schemas/xmls/qdc/2003/04/02/dcterms.xsd"/>
    <xsd:element name="coreProperties" type="CT_coreProperties"/>
    <xsd:complexType name="CT_coreProperties">
      <xsd:all>
        <xsd:element ref="dc:creator" minOccurs="0" maxOccurs="1"/>
        <xsd:element ref="dcterms:created" minOccurs="0" maxOccurs="1"/>
        <xsd:element ref="dc:identifier" minOccurs="0" maxOccurs="1"/>
        <xsd:element name="contentType" minOccurs="0" maxOccurs="1" type="xsd:string" ma:index="0" ma:displayName="Tipo de Conteúdo"/>
        <xsd:element ref="dc:title" minOccurs="0" maxOccurs="1" ma:index="4" ma:displayName="Título"/>
        <xsd:element ref="dc:subject" minOccurs="0" maxOccurs="1"/>
        <xsd:element ref="dc:description" minOccurs="0" maxOccurs="1"/>
        <xsd:element name="keywords" minOccurs="0" maxOccurs="1" type="xsd:string"/>
        <xsd:element ref="dc:language" minOccurs="0" maxOccurs="1"/>
        <xsd:element name="category" minOccurs="0" maxOccurs="1" type="xsd:string"/>
        <xsd:element name="version" minOccurs="0" maxOccurs="1" type="xsd:string"/>
        <xsd:element name="revision" minOccurs="0" maxOccurs="1" type="xsd:string">
          <xsd:annotation>
            <xsd:documentation>
                        This value indicates the number of saves or revisions. The application is responsible for updating this value after each revision.
                    </xsd:documentation>
          </xsd:annotation>
        </xsd:element>
        <xsd:element name="lastModifiedBy" minOccurs="0" maxOccurs="1" type="xsd:string"/>
        <xsd:element ref="dcterms:modified" minOccurs="0" maxOccurs="1"/>
        <xsd:element name="contentStatus" minOccurs="0" maxOccurs="1" type="xsd:string"/>
      </xsd:all>
    </xsd:complexType>
  </xsd:schema>
  <xs:schema xmlns:pc="http://schemas.microsoft.com/office/infopath/2007/PartnerControls" xmlns:xs="http://www.w3.org/2001/XMLSchema" targetNamespace="http://schemas.microsoft.com/office/infopath/2007/PartnerControls" elementFormDefault="qualified" attributeFormDefault="unqualified">
    <xs:element name="Person">
      <xs:complexType>
        <xs:sequence>
          <xs:element ref="pc:DisplayName" minOccurs="0"/>
          <xs:element ref="pc:AccountId" minOccurs="0"/>
          <xs:element ref="pc:AccountType" minOccurs="0"/>
        </xs:sequence>
      </xs:complexType>
    </xs:element>
    <xs:element name="DisplayName" type="xs:string"/>
    <xs:element name="AccountId" type="xs:string"/>
    <xs:element name="AccountType" type="xs:string"/>
    <xs:element name="BDCAssociatedEntity">
      <xs:complexType>
        <xs:sequence>
          <xs:element ref="pc:BDCEntity" minOccurs="0" maxOccurs="unbounded"/>
        </xs:sequence>
        <xs:attribute ref="pc:EntityNamespace"/>
        <xs:attribute ref="pc:EntityName"/>
        <xs:attribute ref="pc:SystemInstanceName"/>
        <xs:attribute ref="pc:AssociationName"/>
      </xs:complexType>
    </xs:element>
    <xs:attribute name="EntityNamespace" type="xs:string"/>
    <xs:attribute name="EntityName" type="xs:string"/>
    <xs:attribute name="SystemInstanceName" type="xs:string"/>
    <xs:attribute name="AssociationName" type="xs:string"/>
    <xs:element name="BDCEntity">
      <xs:complexType>
        <xs:sequence>
          <xs:element ref="pc:EntityDisplayName" minOccurs="0"/>
          <xs:element ref="pc:EntityInstanceReference" minOccurs="0"/>
          <xs:element ref="pc:EntityId1" minOccurs="0"/>
          <xs:element ref="pc:EntityId2" minOccurs="0"/>
          <xs:element ref="pc:EntityId3" minOccurs="0"/>
          <xs:element ref="pc:EntityId4" minOccurs="0"/>
          <xs:element ref="pc:EntityId5" minOccurs="0"/>
        </xs:sequence>
      </xs:complexType>
    </xs:element>
    <xs:element name="EntityDisplayName" type="xs:string"/>
    <xs:element name="EntityInstanceReference" type="xs:string"/>
    <xs:element name="EntityId1" type="xs:string"/>
    <xs:element name="EntityId2" type="xs:string"/>
    <xs:element name="EntityId3" type="xs:string"/>
    <xs:element name="EntityId4" type="xs:string"/>
    <xs:element name="EntityId5" type="xs:string"/>
    <xs:element name="Terms">
      <xs:complexType>
        <xs:sequence>
          <xs:element ref="pc:TermInfo" minOccurs="0" maxOccurs="unbounded"/>
        </xs:sequence>
      </xs:complexType>
    </xs:element>
    <xs:element name="TermInfo">
      <xs:complexType>
        <xs:sequence>
          <xs:element ref="pc:TermName" minOccurs="0"/>
          <xs:element ref="pc:TermId" minOccurs="0"/>
        </xs:sequence>
      </xs:complexType>
    </xs:element>
    <xs:element name="TermName" type="xs:string"/>
    <xs:element name="TermId" type="xs:string"/>
  </xs:schema>
</ct:contentTypeSchema>
</file>

<file path=customXml/item2.xml><?xml version="1.0" encoding="utf-8"?>
<?mso-contentType ?>
<FormTemplates xmlns="http://schemas.microsoft.com/sharepoint/v3/contenttype/forms">
  <Display>DocumentLibraryForm</Display>
  <Edit>DocumentLibraryForm</Edit>
  <New>DocumentLibraryForm</New>
</FormTemplates>
</file>

<file path=customXml/item3.xml><?xml version="1.0" encoding="utf-8"?>
<p:properties xmlns:p="http://schemas.microsoft.com/office/2006/metadata/properties" xmlns:xsi="http://www.w3.org/2001/XMLSchema-instance" xmlns:pc="http://schemas.microsoft.com/office/infopath/2007/PartnerControls">
  <documentManagement>
    <_activity xmlns="90d5e580-80cf-4cee-a276-19a2875aa6da" xsi:nil="true"/>
  </documentManagement>
</p:properties>
</file>

<file path=customXml/itemProps1.xml><?xml version="1.0" encoding="utf-8"?>
<ds:datastoreItem xmlns:ds="http://schemas.openxmlformats.org/officeDocument/2006/customXml" ds:itemID="{1C2AA8A7-FCF1-475F-9FFF-7CF028525BE8}">
  <ds:schemaRefs>
    <ds:schemaRef ds:uri="http://schemas.microsoft.com/office/2006/metadata/contentType"/>
    <ds:schemaRef ds:uri="http://schemas.microsoft.com/office/2006/metadata/properties/metaAttributes"/>
    <ds:schemaRef ds:uri="http://www.w3.org/2001/XMLSchema"/>
    <ds:schemaRef ds:uri="http://schemas.microsoft.com/office/2006/metadata/properties"/>
    <ds:schemaRef ds:uri="90d5e580-80cf-4cee-a276-19a2875aa6da"/>
    <ds:schemaRef ds:uri="1688960d-a08c-4955-8b21-d3f5d23ab1da"/>
    <ds:schemaRef ds:uri="http://schemas.microsoft.com/office/2006/documentManagement/types"/>
    <ds:schemaRef ds:uri="http://schemas.microsoft.com/office/infopath/2007/PartnerControls"/>
    <ds:schemaRef ds:uri="http://schemas.openxmlformats.org/package/2006/metadata/core-properties"/>
    <ds:schemaRef ds:uri="http://purl.org/dc/elements/1.1/"/>
    <ds:schemaRef ds:uri="http://purl.org/dc/terms/"/>
    <ds:schemaRef ds:uri="http://schemas.microsoft.com/internal/obd"/>
  </ds:schemaRefs>
</ds:datastoreItem>
</file>

<file path=customXml/itemProps2.xml><?xml version="1.0" encoding="utf-8"?>
<ds:datastoreItem xmlns:ds="http://schemas.openxmlformats.org/officeDocument/2006/customXml" ds:itemID="{AA1177D1-D193-4404-9EBB-5AF2CDD4BF00}">
  <ds:schemaRefs>
    <ds:schemaRef ds:uri="http://schemas.microsoft.com/sharepoint/v3/contenttype/forms"/>
  </ds:schemaRefs>
</ds:datastoreItem>
</file>

<file path=customXml/itemProps3.xml><?xml version="1.0" encoding="utf-8"?>
<ds:datastoreItem xmlns:ds="http://schemas.openxmlformats.org/officeDocument/2006/customXml" ds:itemID="{501AF076-DC1E-4F87-942A-E16F760592A3}">
  <ds:schemaRefs>
    <ds:schemaRef ds:uri="90d5e580-80cf-4cee-a276-19a2875aa6da"/>
    <ds:schemaRef ds:uri="http://schemas.microsoft.com/office/2006/metadata/properties"/>
    <ds:schemaRef ds:uri="http://purl.org/dc/terms/"/>
    <ds:schemaRef ds:uri="http://schemas.microsoft.com/office/2006/documentManagement/types"/>
    <ds:schemaRef ds:uri="http://schemas.microsoft.com/office/infopath/2007/PartnerControls"/>
    <ds:schemaRef ds:uri="http://purl.org/dc/elements/1.1/"/>
    <ds:schemaRef ds:uri="http://www.w3.org/XML/1998/namespace"/>
    <ds:schemaRef ds:uri="http://schemas.openxmlformats.org/package/2006/metadata/core-properties"/>
    <ds:schemaRef ds:uri="1688960d-a08c-4955-8b21-d3f5d23ab1da"/>
    <ds:schemaRef ds:uri="http://purl.org/dc/dcmitype/"/>
  </ds:schemaRefs>
</ds:datastoreItem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V_OSM_GF3140 (1)</vt:lpstr>
    </vt:vector>
  </TitlesOfParts>
  <LinksUpToDate>false</LinksUpToDate>
  <SharedDoc>false</SharedDoc>
  <HyperlinksChanged>false</HyperlinksChanged>
  <AppVersion>16.0300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SAYONARA DE MIRANDA SILVA</dc:creator>
  <cp:lastModifiedBy>SAYONARA DE MIRANDA SILVA</cp:lastModifiedBy>
  <dcterms:created xsi:type="dcterms:W3CDTF">2026-07-09T19:30:22Z</dcterms:created>
  <dcterms:modified xsi:type="dcterms:W3CDTF">2026-07-09T19:32:39Z</dcterms:modified>
</cp:coreProperties>
</file>

<file path=docProps/custom.xml><?xml version="1.0" encoding="utf-8"?>
<Properties xmlns="http://schemas.openxmlformats.org/officeDocument/2006/custom-properties" xmlns:vt="http://schemas.openxmlformats.org/officeDocument/2006/docPropsVTypes">
  <property fmtid="{D5CDD505-2E9C-101B-9397-08002B2CF9AE}" pid="2" name="ContentTypeId">
    <vt:lpwstr>0x0101009A5DEE6276259248A3540F0EFCFC0235</vt:lpwstr>
  </property>
</Properties>
</file>